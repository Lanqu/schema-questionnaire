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rsonal\psyco\"/>
    </mc:Choice>
  </mc:AlternateContent>
  <xr:revisionPtr revIDLastSave="0" documentId="13_ncr:1_{21331B70-50BD-4571-95D2-3443C10A5842}" xr6:coauthVersionLast="47" xr6:coauthVersionMax="47" xr10:uidLastSave="{00000000-0000-0000-0000-000000000000}"/>
  <bookViews>
    <workbookView xWindow="-110" yWindow="-110" windowWidth="34870" windowHeight="21100" activeTab="1" xr2:uid="{00000000-000D-0000-FFFF-FFFF00000000}"/>
  </bookViews>
  <sheets>
    <sheet name="Опросник" sheetId="4" r:id="rId1"/>
    <sheet name="Результат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6" i="2" l="1"/>
  <c r="C95" i="2"/>
  <c r="C94" i="2"/>
  <c r="C93" i="2"/>
  <c r="F93" i="2" s="1"/>
  <c r="C92" i="2"/>
  <c r="F92" i="2" s="1"/>
  <c r="C91" i="2"/>
  <c r="E91" i="2" s="1"/>
  <c r="C90" i="2"/>
  <c r="E90" i="2" s="1"/>
  <c r="C89" i="2"/>
  <c r="F89" i="2" s="1"/>
  <c r="C88" i="2"/>
  <c r="F88" i="2" s="1"/>
  <c r="C87" i="2"/>
  <c r="F87" i="2" s="1"/>
  <c r="C86" i="2"/>
  <c r="C85" i="2"/>
  <c r="F85" i="2" s="1"/>
  <c r="C84" i="2"/>
  <c r="F84" i="2" s="1"/>
  <c r="C83" i="2"/>
  <c r="E83" i="2" s="1"/>
  <c r="C82" i="2"/>
  <c r="E82" i="2" s="1"/>
  <c r="C81" i="2"/>
  <c r="F81" i="2" s="1"/>
  <c r="C80" i="2"/>
  <c r="F80" i="2" s="1"/>
  <c r="C79" i="2"/>
  <c r="F79" i="2" s="1"/>
  <c r="C78" i="2"/>
  <c r="F78" i="2" s="1"/>
  <c r="C77" i="2"/>
  <c r="F77" i="2" s="1"/>
  <c r="C76" i="2"/>
  <c r="F76" i="2" s="1"/>
  <c r="C75" i="2"/>
  <c r="E75" i="2" s="1"/>
  <c r="C74" i="2"/>
  <c r="E74" i="2" s="1"/>
  <c r="C73" i="2"/>
  <c r="F73" i="2" s="1"/>
  <c r="C72" i="2"/>
  <c r="F72" i="2" s="1"/>
  <c r="C71" i="2"/>
  <c r="C70" i="2"/>
  <c r="F70" i="2" s="1"/>
  <c r="C69" i="2"/>
  <c r="F69" i="2" s="1"/>
  <c r="C68" i="2"/>
  <c r="F68" i="2" s="1"/>
  <c r="C67" i="2"/>
  <c r="E67" i="2" s="1"/>
  <c r="C66" i="2"/>
  <c r="E66" i="2" s="1"/>
  <c r="C65" i="2"/>
  <c r="C64" i="2"/>
  <c r="C63" i="2"/>
  <c r="C62" i="2"/>
  <c r="C61" i="2"/>
  <c r="F61" i="2" s="1"/>
  <c r="C60" i="2"/>
  <c r="F60" i="2" s="1"/>
  <c r="C59" i="2"/>
  <c r="E59" i="2" s="1"/>
  <c r="C58" i="2"/>
  <c r="E58" i="2" s="1"/>
  <c r="C57" i="2"/>
  <c r="F57" i="2" s="1"/>
  <c r="C56" i="2"/>
  <c r="F56" i="2" s="1"/>
  <c r="C55" i="2"/>
  <c r="F55" i="2" s="1"/>
  <c r="C54" i="2"/>
  <c r="F54" i="2" s="1"/>
  <c r="C53" i="2"/>
  <c r="F53" i="2" s="1"/>
  <c r="C52" i="2"/>
  <c r="F52" i="2" s="1"/>
  <c r="C51" i="2"/>
  <c r="F51" i="2" s="1"/>
  <c r="C50" i="2"/>
  <c r="E50" i="2" s="1"/>
  <c r="C49" i="2"/>
  <c r="E49" i="2" s="1"/>
  <c r="C48" i="2"/>
  <c r="F48" i="2" s="1"/>
  <c r="C47" i="2"/>
  <c r="E47" i="2" s="1"/>
  <c r="C46" i="2"/>
  <c r="F46" i="2" s="1"/>
  <c r="C45" i="2"/>
  <c r="E45" i="2" s="1"/>
  <c r="C44" i="2"/>
  <c r="F44" i="2" s="1"/>
  <c r="C43" i="2"/>
  <c r="F43" i="2" s="1"/>
  <c r="C42" i="2"/>
  <c r="E42" i="2" s="1"/>
  <c r="C41" i="2"/>
  <c r="E41" i="2" s="1"/>
  <c r="C40" i="2"/>
  <c r="F40" i="2" s="1"/>
  <c r="C39" i="2"/>
  <c r="E39" i="2" s="1"/>
  <c r="C38" i="2"/>
  <c r="E38" i="2" s="1"/>
  <c r="C37" i="2"/>
  <c r="E37" i="2" s="1"/>
  <c r="C36" i="2"/>
  <c r="F36" i="2" s="1"/>
  <c r="C35" i="2"/>
  <c r="F35" i="2" s="1"/>
  <c r="C34" i="2"/>
  <c r="E34" i="2" s="1"/>
  <c r="C33" i="2"/>
  <c r="E33" i="2" s="1"/>
  <c r="C32" i="2"/>
  <c r="C31" i="2"/>
  <c r="C30" i="2"/>
  <c r="C29" i="2"/>
  <c r="C28" i="2"/>
  <c r="C27" i="2"/>
  <c r="F27" i="2" s="1"/>
  <c r="C26" i="2"/>
  <c r="E26" i="2" s="1"/>
  <c r="C25" i="2"/>
  <c r="E25" i="2" s="1"/>
  <c r="C24" i="2"/>
  <c r="F24" i="2" s="1"/>
  <c r="C23" i="2"/>
  <c r="E23" i="2" s="1"/>
  <c r="C22" i="2"/>
  <c r="F22" i="2" s="1"/>
  <c r="C21" i="2"/>
  <c r="E21" i="2" s="1"/>
  <c r="C20" i="2"/>
  <c r="F20" i="2" s="1"/>
  <c r="C19" i="2"/>
  <c r="F19" i="2" s="1"/>
  <c r="C18" i="2"/>
  <c r="C17" i="2"/>
  <c r="E17" i="2" s="1"/>
  <c r="C16" i="2"/>
  <c r="F16" i="2" s="1"/>
  <c r="C15" i="2"/>
  <c r="C14" i="2"/>
  <c r="E14" i="2" s="1"/>
  <c r="C13" i="2"/>
  <c r="C12" i="2"/>
  <c r="E12" i="2" s="1"/>
  <c r="C11" i="2"/>
  <c r="C10" i="2"/>
  <c r="C9" i="2"/>
  <c r="E9" i="2" s="1"/>
  <c r="C8" i="2"/>
  <c r="C7" i="2"/>
  <c r="C4" i="2"/>
  <c r="H2" i="2"/>
  <c r="C2" i="2"/>
  <c r="E96" i="2"/>
  <c r="F95" i="2"/>
  <c r="F94" i="2"/>
  <c r="F86" i="2"/>
  <c r="F71" i="2"/>
  <c r="F65" i="2"/>
  <c r="F64" i="2"/>
  <c r="F63" i="2"/>
  <c r="F62" i="2"/>
  <c r="E31" i="2"/>
  <c r="F29" i="2"/>
  <c r="F28" i="2"/>
  <c r="E92" i="2" l="1"/>
  <c r="G92" i="2" s="1"/>
  <c r="E60" i="2"/>
  <c r="F47" i="2"/>
  <c r="F14" i="2"/>
  <c r="E84" i="2"/>
  <c r="E46" i="2"/>
  <c r="F45" i="2"/>
  <c r="G45" i="2" s="1"/>
  <c r="F111" i="2"/>
  <c r="G111" i="2" s="1"/>
  <c r="H111" i="2" s="1"/>
  <c r="E79" i="2"/>
  <c r="F26" i="2"/>
  <c r="E68" i="2"/>
  <c r="G68" i="2" s="1"/>
  <c r="F90" i="2"/>
  <c r="F21" i="2"/>
  <c r="G21" i="2" s="1"/>
  <c r="F105" i="2"/>
  <c r="G105" i="2" s="1"/>
  <c r="H105" i="2" s="1"/>
  <c r="G14" i="2"/>
  <c r="F12" i="2"/>
  <c r="G12" i="2" s="1"/>
  <c r="F9" i="2"/>
  <c r="G9" i="2" s="1"/>
  <c r="F23" i="2"/>
  <c r="G23" i="2" s="1"/>
  <c r="G26" i="2"/>
  <c r="F39" i="2"/>
  <c r="G39" i="2" s="1"/>
  <c r="F37" i="2"/>
  <c r="G37" i="2" s="1"/>
  <c r="F34" i="2"/>
  <c r="G34" i="2" s="1"/>
  <c r="E29" i="2"/>
  <c r="G29" i="2" s="1"/>
  <c r="F31" i="2"/>
  <c r="G31" i="2" s="1"/>
  <c r="F42" i="2"/>
  <c r="G42" i="2"/>
  <c r="G47" i="2"/>
  <c r="F106" i="2"/>
  <c r="G106" i="2" s="1"/>
  <c r="H106" i="2" s="1"/>
  <c r="F50" i="2"/>
  <c r="G50" i="2" s="1"/>
  <c r="E54" i="2"/>
  <c r="G54" i="2" s="1"/>
  <c r="E53" i="2"/>
  <c r="G53" i="2" s="1"/>
  <c r="D112" i="2"/>
  <c r="E71" i="2"/>
  <c r="G71" i="2" s="1"/>
  <c r="D111" i="2"/>
  <c r="D110" i="2"/>
  <c r="E63" i="2"/>
  <c r="G63" i="2" s="1"/>
  <c r="D105" i="2"/>
  <c r="E62" i="2"/>
  <c r="G62" i="2" s="1"/>
  <c r="D102" i="2"/>
  <c r="D101" i="2"/>
  <c r="E70" i="2"/>
  <c r="G70" i="2" s="1"/>
  <c r="F103" i="2"/>
  <c r="G103" i="2" s="1"/>
  <c r="H103" i="2" s="1"/>
  <c r="D113" i="2"/>
  <c r="F104" i="2"/>
  <c r="G104" i="2" s="1"/>
  <c r="H104" i="2" s="1"/>
  <c r="D100" i="2"/>
  <c r="F114" i="2"/>
  <c r="G114" i="2" s="1"/>
  <c r="H114" i="2" s="1"/>
  <c r="F113" i="2"/>
  <c r="G113" i="2" s="1"/>
  <c r="H113" i="2" s="1"/>
  <c r="E78" i="2"/>
  <c r="G78" i="2" s="1"/>
  <c r="E76" i="2"/>
  <c r="G76" i="2" s="1"/>
  <c r="F82" i="2"/>
  <c r="G82" i="2" s="1"/>
  <c r="D104" i="2"/>
  <c r="F101" i="2"/>
  <c r="G101" i="2" s="1"/>
  <c r="H101" i="2" s="1"/>
  <c r="F100" i="2"/>
  <c r="G100" i="2" s="1"/>
  <c r="H100" i="2" s="1"/>
  <c r="F74" i="2"/>
  <c r="G74" i="2" s="1"/>
  <c r="D103" i="2"/>
  <c r="F108" i="2"/>
  <c r="G108" i="2" s="1"/>
  <c r="H108" i="2" s="1"/>
  <c r="F107" i="2"/>
  <c r="G107" i="2" s="1"/>
  <c r="H107" i="2" s="1"/>
  <c r="E86" i="2"/>
  <c r="G86" i="2" s="1"/>
  <c r="D117" i="2"/>
  <c r="D109" i="2"/>
  <c r="G90" i="2"/>
  <c r="D116" i="2"/>
  <c r="D108" i="2"/>
  <c r="D115" i="2"/>
  <c r="D107" i="2"/>
  <c r="E95" i="2"/>
  <c r="G95" i="2" s="1"/>
  <c r="D114" i="2"/>
  <c r="D106" i="2"/>
  <c r="E87" i="2"/>
  <c r="G87" i="2" s="1"/>
  <c r="E94" i="2"/>
  <c r="G94" i="2" s="1"/>
  <c r="G46" i="2"/>
  <c r="G41" i="2"/>
  <c r="G84" i="2"/>
  <c r="G79" i="2"/>
  <c r="G60" i="2"/>
  <c r="E89" i="2"/>
  <c r="G89" i="2" s="1"/>
  <c r="E73" i="2"/>
  <c r="G73" i="2" s="1"/>
  <c r="E57" i="2"/>
  <c r="G57" i="2" s="1"/>
  <c r="E40" i="2"/>
  <c r="G40" i="2" s="1"/>
  <c r="E32" i="2"/>
  <c r="E24" i="2"/>
  <c r="G24" i="2" s="1"/>
  <c r="F91" i="2"/>
  <c r="G91" i="2" s="1"/>
  <c r="F83" i="2"/>
  <c r="G83" i="2" s="1"/>
  <c r="F67" i="2"/>
  <c r="G67" i="2" s="1"/>
  <c r="F18" i="2"/>
  <c r="F102" i="2"/>
  <c r="G102" i="2" s="1"/>
  <c r="H102" i="2" s="1"/>
  <c r="F110" i="2"/>
  <c r="G110" i="2" s="1"/>
  <c r="H110" i="2" s="1"/>
  <c r="E81" i="2"/>
  <c r="G81" i="2" s="1"/>
  <c r="E65" i="2"/>
  <c r="G65" i="2" s="1"/>
  <c r="E48" i="2"/>
  <c r="G48" i="2" s="1"/>
  <c r="E15" i="2"/>
  <c r="F75" i="2"/>
  <c r="G75" i="2" s="1"/>
  <c r="F59" i="2"/>
  <c r="G59" i="2" s="1"/>
  <c r="E8" i="2"/>
  <c r="E88" i="2"/>
  <c r="G88" i="2" s="1"/>
  <c r="E80" i="2"/>
  <c r="G80" i="2" s="1"/>
  <c r="E72" i="2"/>
  <c r="G72" i="2" s="1"/>
  <c r="E64" i="2"/>
  <c r="G64" i="2" s="1"/>
  <c r="E56" i="2"/>
  <c r="G56" i="2" s="1"/>
  <c r="F66" i="2"/>
  <c r="G66" i="2" s="1"/>
  <c r="F58" i="2"/>
  <c r="G58" i="2" s="1"/>
  <c r="F49" i="2"/>
  <c r="G49" i="2" s="1"/>
  <c r="F41" i="2"/>
  <c r="F33" i="2"/>
  <c r="G33" i="2" s="1"/>
  <c r="F25" i="2"/>
  <c r="G25" i="2" s="1"/>
  <c r="F17" i="2"/>
  <c r="G17" i="2" s="1"/>
  <c r="F8" i="2"/>
  <c r="F117" i="2"/>
  <c r="G117" i="2" s="1"/>
  <c r="H117" i="2" s="1"/>
  <c r="F109" i="2"/>
  <c r="G109" i="2" s="1"/>
  <c r="H109" i="2" s="1"/>
  <c r="E30" i="2"/>
  <c r="E22" i="2"/>
  <c r="G22" i="2" s="1"/>
  <c r="E13" i="2"/>
  <c r="F32" i="2"/>
  <c r="F15" i="2"/>
  <c r="F116" i="2"/>
  <c r="G116" i="2" s="1"/>
  <c r="H116" i="2" s="1"/>
  <c r="F7" i="2"/>
  <c r="F115" i="2"/>
  <c r="G115" i="2" s="1"/>
  <c r="H115" i="2" s="1"/>
  <c r="E7" i="2"/>
  <c r="E93" i="2"/>
  <c r="G93" i="2" s="1"/>
  <c r="E85" i="2"/>
  <c r="G85" i="2" s="1"/>
  <c r="E77" i="2"/>
  <c r="G77" i="2" s="1"/>
  <c r="E69" i="2"/>
  <c r="G69" i="2" s="1"/>
  <c r="E61" i="2"/>
  <c r="G61" i="2" s="1"/>
  <c r="E52" i="2"/>
  <c r="G52" i="2" s="1"/>
  <c r="E44" i="2"/>
  <c r="G44" i="2" s="1"/>
  <c r="E36" i="2"/>
  <c r="G36" i="2" s="1"/>
  <c r="E28" i="2"/>
  <c r="G28" i="2" s="1"/>
  <c r="E20" i="2"/>
  <c r="G20" i="2" s="1"/>
  <c r="F38" i="2"/>
  <c r="G38" i="2" s="1"/>
  <c r="F30" i="2"/>
  <c r="F13" i="2"/>
  <c r="E43" i="2"/>
  <c r="G43" i="2" s="1"/>
  <c r="E19" i="2"/>
  <c r="G19" i="2" s="1"/>
  <c r="E51" i="2"/>
  <c r="G51" i="2" s="1"/>
  <c r="E27" i="2"/>
  <c r="G27" i="2" s="1"/>
  <c r="E11" i="2"/>
  <c r="E18" i="2"/>
  <c r="F11" i="2"/>
  <c r="F112" i="2"/>
  <c r="G112" i="2" s="1"/>
  <c r="H112" i="2" s="1"/>
  <c r="E35" i="2"/>
  <c r="G35" i="2" s="1"/>
  <c r="E10" i="2"/>
  <c r="F10" i="2"/>
  <c r="E55" i="2"/>
  <c r="G55" i="2" s="1"/>
  <c r="E16" i="2"/>
  <c r="G16" i="2" s="1"/>
  <c r="F96" i="2"/>
  <c r="G96" i="2" s="1"/>
  <c r="K102" i="2" l="1"/>
  <c r="G7" i="2"/>
  <c r="E110" i="2"/>
  <c r="G15" i="2"/>
  <c r="E108" i="2" s="1"/>
  <c r="G18" i="2"/>
  <c r="E111" i="2" s="1"/>
  <c r="G30" i="2"/>
  <c r="E116" i="2"/>
  <c r="K104" i="2"/>
  <c r="K100" i="2"/>
  <c r="E102" i="2"/>
  <c r="K103" i="2"/>
  <c r="K101" i="2"/>
  <c r="E114" i="2"/>
  <c r="E105" i="2"/>
  <c r="G8" i="2"/>
  <c r="E101" i="2" s="1"/>
  <c r="G10" i="2"/>
  <c r="E103" i="2" s="1"/>
  <c r="E100" i="2"/>
  <c r="E117" i="2"/>
  <c r="E109" i="2"/>
  <c r="G11" i="2"/>
  <c r="E104" i="2" s="1"/>
  <c r="E113" i="2"/>
  <c r="G13" i="2"/>
  <c r="E106" i="2" s="1"/>
  <c r="G32" i="2"/>
  <c r="E107" i="2" s="1"/>
  <c r="E112" i="2"/>
  <c r="E115" i="2"/>
  <c r="L102" i="2" l="1"/>
  <c r="L100" i="2"/>
  <c r="L103" i="2"/>
  <c r="L104" i="2"/>
  <c r="L101" i="2"/>
</calcChain>
</file>

<file path=xl/sharedStrings.xml><?xml version="1.0" encoding="utf-8"?>
<sst xmlns="http://schemas.openxmlformats.org/spreadsheetml/2006/main" count="312" uniqueCount="158">
  <si>
    <t>Имя:</t>
  </si>
  <si>
    <t>Возраст:</t>
  </si>
  <si>
    <t>Образование:</t>
  </si>
  <si>
    <t>Дата:</t>
  </si>
  <si>
    <t>Инструкция:</t>
  </si>
  <si>
    <t>Выберите подходящий вариант ответа и поставьте соответсвующий номер напротив утверждения.</t>
  </si>
  <si>
    <t>1 = Абсолютно не соответствует</t>
  </si>
  <si>
    <t>2 = По большей части не соответствует</t>
  </si>
  <si>
    <t>3 = Скорее соответствует, чем нет</t>
  </si>
  <si>
    <t>4 = В общем, соответствует</t>
  </si>
  <si>
    <t>5 = По большей части соотвествует</t>
  </si>
  <si>
    <t>6 = Полностью соответствует</t>
  </si>
  <si>
    <t>Ниже перечислены утверждения, с помощью которых Вы можете описать себя. Пожалуйста, прочитайте каждое утверждение и решите, насколько точно оно Вас характеризует. Если Вы не уверены, как ответить, основывайте свой ответ на том, как Вы ЧУВСТВУЕТЕ, а не на том, что Вы считаете правильным.</t>
  </si>
  <si>
    <t>1. Рядом со мной не было человека, который бы обо мне заботился, проявлял участие и искренний интерес ко всему, что происходило со мной</t>
  </si>
  <si>
    <t>2. Я «цепляюсь» за близких мне людей, так как боюсь, что они меня покинут</t>
  </si>
  <si>
    <t>3. Мне кажется, что другие люди меня используют</t>
  </si>
  <si>
    <t>4. Я не вписываюсь ни в одну из компаний</t>
  </si>
  <si>
    <t>5. Ни один человек, к которому я испытываю влечение, не мог бы полюбить меня, если бы узнал о моих недостатках</t>
  </si>
  <si>
    <t>6. Почти всё, что я делаю на работе (в учебе) не так хорошо, как это могли бы сделать другие люди</t>
  </si>
  <si>
    <t>7. Думаю, что я не способен самостоятельно справляться с повседневными делами</t>
  </si>
  <si>
    <t>8. Я не могу избавиться от ощущения, что должно случиться что-то плохое</t>
  </si>
  <si>
    <t>9. Я не смог «отделиться» от своих родителей в той мере, в какой это сделали мои сверстники</t>
  </si>
  <si>
    <t>10. Я думаю, что если я буду делать только то, что мне хочется, это непременно приведет к неприятностям</t>
  </si>
  <si>
    <t>Утверждение:</t>
  </si>
  <si>
    <t>Балл</t>
  </si>
  <si>
    <t>11. В конце концов, именно мне приходится заботиться о моих близких</t>
  </si>
  <si>
    <t>12. Я слишком застенчив, чтобы проявлять свою симпатию (внимание или привязанность) к другим людям</t>
  </si>
  <si>
    <t>13. Я должен быть лучшим во всем, что я делаю, и не могу быть хуже других</t>
  </si>
  <si>
    <t>14. Мне очень трудно принять «нет» в качестве ответа, если я чего-нибудь хочу от других людей</t>
  </si>
  <si>
    <t>15. Я не могу заставить себя выполнять рутинные или скучные задания</t>
  </si>
  <si>
    <t>16. Знакомство с важными людьми и наличие денег дают мне ощущение собственной значимости</t>
  </si>
  <si>
    <t>17. Даже когда дела идут хорошо, у меня такое ощущение, что это ненадолго</t>
  </si>
  <si>
    <t>18. Если я допущу ошибку, то должен быть наказан</t>
  </si>
  <si>
    <t>19. Я не знаю таких людей, которые давали бы мне тепло, любовь и заботу</t>
  </si>
  <si>
    <t>20. Я так сильно нуждаюсь в других людях, что боюсь их потерять</t>
  </si>
  <si>
    <t>21. Я чувствую, что не могу ослабить свою защиту и вести себя естественно в присутствии других людей, так как они могут причинить мне боль</t>
  </si>
  <si>
    <t>22. Я очень сильно отличаюсь от других людей</t>
  </si>
  <si>
    <t>23. Никто, о ком я мечтаю, не захотел бы остаться рядом со мной, если бы узнал, какой я на самом деле</t>
  </si>
  <si>
    <t>24. Я неспособен добиться успеха</t>
  </si>
  <si>
    <t>25. В повседневной жизни я во многом завишу от других людей</t>
  </si>
  <si>
    <t>26. Я полагаю, что в любой момент может произойти нечто ужасное (природная катастрофа, преступление, финансовый кризис или несчастный случай)</t>
  </si>
  <si>
    <t>27. Я и мои родители склонны (были склонны) принимать излишнее участие в жизни и решении проблем друг друга</t>
  </si>
  <si>
    <t>28. Я чувствую, что я должен уступать желаниям других людей, иначе они могут отвергнуть меня или как-то отомстить</t>
  </si>
  <si>
    <t>29. Я - хороший человек, так как думаю о других больше, чем о себе</t>
  </si>
  <si>
    <t>30. Мне неловко показывать другим свои чувства</t>
  </si>
  <si>
    <t>31. Я стараюсь делать все как можно лучше и не приемлю, когда говорят «…и так уже достаточно хорошо…»</t>
  </si>
  <si>
    <t>32. Я особенный человек и не обязан подчиняться многим ограничениям, установленным для других людей</t>
  </si>
  <si>
    <t>33. Если мне не удается достичь цели, я легко отчаиваюсь и сдаюсь</t>
  </si>
  <si>
    <t>34. Достижения имеют для меня наибольшую ценность, если их замечают другие люди</t>
  </si>
  <si>
    <t>35. Когда случается что-то хорошее, я жду, что должно случиться что-то плохое</t>
  </si>
  <si>
    <t>36. Если я не буду стараться изо всех сил, то у меня обязательно будут неприятности</t>
  </si>
  <si>
    <t>37. Я никогда не чувствовал, что я был кем-то особенным для другого человека</t>
  </si>
  <si>
    <t>38. Я опасаюсь, что мои близкие покинут или «бросят» меня</t>
  </si>
  <si>
    <t>39. Думаю, что рано или поздно, кто-нибудь меня обязательно предаст</t>
  </si>
  <si>
    <t>40. Я – одиночка, и не принадлежу ни к какому «кругу»</t>
  </si>
  <si>
    <t>41. Я недостоин любви, внимания или уважения других людей</t>
  </si>
  <si>
    <t>42. Большинство людей достигают лучших результатов в работе, чем я</t>
  </si>
  <si>
    <t>43. Мне не хватает здравого смысла</t>
  </si>
  <si>
    <t>44. Я боюсь, что на меня могут напасть</t>
  </si>
  <si>
    <t>45. Мне всегда было очень трудно скрывать от родителей подробности личной жизни, не испытывая при этом чувства вины</t>
  </si>
  <si>
    <t>46. В отношениях с другими людьми я легко соглашаюсь быть на вторых ролях</t>
  </si>
  <si>
    <t>47. Я так занят делами моих близких, что у меня не остается времени для себя</t>
  </si>
  <si>
    <t>48. Мне трудно быть раскованным и непосредственным с другими людьми</t>
  </si>
  <si>
    <t>49. Я должен выполнять все свои обязательства</t>
  </si>
  <si>
    <t>50. Я терпеть не могу, когда меня ограничивают или не дают делать то, что я хочу</t>
  </si>
  <si>
    <t>51. Мне очень трудно отказывать себе в удовлетворении сиюминутных желаний ради достижения отдаленной цели</t>
  </si>
  <si>
    <t>52. Когда я не получаю повышенного внимания, я чувствую себя недостаточно значимым человеком</t>
  </si>
  <si>
    <t>53. Невозможно всё предусмотреть - что-нибудь обязательно пойдёт не так</t>
  </si>
  <si>
    <t>54. Если я не сделаю какую-либо работу как следует, то должен буду отвечать за последствия</t>
  </si>
  <si>
    <t>55. У меня никогда не было человека, который бы по-настоящему выслушивал и понимал меня или интересовался моими истинными потребностями и чувствами</t>
  </si>
  <si>
    <t>56. Когда я чувствую, что близкий человек отдаляется или уходит от меня, я впадаю в отчаяние</t>
  </si>
  <si>
    <t>57. Я очень подозрительно отношусь к тому, какими мотивами руководствуются другие люди</t>
  </si>
  <si>
    <t>58. Я чувствую себя отчужденным или изолированным от других людей</t>
  </si>
  <si>
    <t>59. Мне кажется, что меня нельзя полюбить</t>
  </si>
  <si>
    <t>60. В работе я не так талантлив, как большинство других людей</t>
  </si>
  <si>
    <t>61. В житейских ситуациях на мое мнение нельзя полагаться</t>
  </si>
  <si>
    <t>62. Я боюсь, что потеряю все деньги или останусь без средств к существованию</t>
  </si>
  <si>
    <t>63. Я чувствую, что живу не собственной жизнью, а так, как хотели бы от меня мои родители</t>
  </si>
  <si>
    <t>64. Так как решения за меня всегда принимали другие, то теперь я сам не знаю, чего хочу на самом деле</t>
  </si>
  <si>
    <t>65. Мне всегда приходится выслушивать проблемы других людей</t>
  </si>
  <si>
    <t>66. Я так сильно контролирую себя, что меня считают неэмоциональным или бесчувственным</t>
  </si>
  <si>
    <t>67. Я постоянно испытываю давление от того, что нужно что-то сделать или чего-то достичь</t>
  </si>
  <si>
    <t>68. Считаю, что я не должен следовать общепринятым правилам и договоренностям, как это делают другие люди</t>
  </si>
  <si>
    <t>69. Я не могу заставить себя делать то, что мне не нравится, даже если я знаю, что это нужно для моего же блага</t>
  </si>
  <si>
    <t>70. Если меня знакомят с новой компанией или я кому-нибудь что-то рассказываю, то для меня очень важно получить признание и восхищение</t>
  </si>
  <si>
    <t>71. Независимо от того, насколько усердно я работаю, меня беспокоит, что я могу лишиться денежных средств и остаться ни с чем</t>
  </si>
  <si>
    <t>72. Не имеет значения, почему я сделал ошибку - если я сделаю что-то не так, то мне придётся за это расплачиваться</t>
  </si>
  <si>
    <t>73. В моей жизни не было такого человека, который мог бы дать мне хороший совет или направить меня, когда я не знал, как поступить</t>
  </si>
  <si>
    <t>74. Иногда я так боюсь, что кто-то покинет меня, что сам первый начинаю отталкивать этого человека</t>
  </si>
  <si>
    <t>75. Обычно я ищу скрытые мотивы у других людей</t>
  </si>
  <si>
    <t>76. Я чувствую себя посторонним в любой группе</t>
  </si>
  <si>
    <t>77. У меня много неприемлемых качеств, из-за которых я не могу открываться перед другими людьми или позволять им узнавать меня получше</t>
  </si>
  <si>
    <t>78. В том, что касается работы или учебы, я не такой сообразительный как большинство других людей</t>
  </si>
  <si>
    <t>79. Я не уверен в своей способности справляться с повседневными проблемами, которые постоянно возникают</t>
  </si>
  <si>
    <t>80. Я беспокоюсь, что у меня развивается тяжелое заболевание, хотя врачи не обнаруживают ничего серьезного</t>
  </si>
  <si>
    <t>81. Я не чувствую себя целостной личностью отдельно от личности моего партнера или кого-то из родителей</t>
  </si>
  <si>
    <t>82. Мне очень трудно требовать от других, чтобы они уважали мои права и считались с моими чувствами</t>
  </si>
  <si>
    <t>83. Люди считают, что я делаю слишком много для других и недостаточно для себя</t>
  </si>
  <si>
    <t>84. Меня считают эмоционально зажатым и напряженным</t>
  </si>
  <si>
    <t>85. Мне трудно снять с себя ответственность за что-либо или дать себе право на ошибку</t>
  </si>
  <si>
    <t>86. То, что я предлагаю и делаю, является более ценным, чем вклад других людей</t>
  </si>
  <si>
    <t>87. Мне редко удаётся сдерживать обещания, которые я даю самому себе</t>
  </si>
  <si>
    <t>88. Я чувствую себя по-настоящему ценным человеком, когда меня хвалят или осыпают комплиментами</t>
  </si>
  <si>
    <t>89. Я боюсь, что любое неправильное решение может привести к катастрофе</t>
  </si>
  <si>
    <t>90. Я плохой человек, который заслуживает наказания</t>
  </si>
  <si>
    <t>Конец опросника</t>
  </si>
  <si>
    <t>Теперь перейдите на вкладку "Результаты"</t>
  </si>
  <si>
    <t>№ вопроса</t>
  </si>
  <si>
    <t>Схема</t>
  </si>
  <si>
    <t>ЭД</t>
  </si>
  <si>
    <t>ПН</t>
  </si>
  <si>
    <t>НН</t>
  </si>
  <si>
    <t>СИО</t>
  </si>
  <si>
    <t>ДС</t>
  </si>
  <si>
    <t>НО</t>
  </si>
  <si>
    <t>ЗН</t>
  </si>
  <si>
    <t>У</t>
  </si>
  <si>
    <t>СДНЯ</t>
  </si>
  <si>
    <t>ПП</t>
  </si>
  <si>
    <t>С</t>
  </si>
  <si>
    <t>ЖС</t>
  </si>
  <si>
    <t>ПЭ</t>
  </si>
  <si>
    <t>ПГ</t>
  </si>
  <si>
    <t>НС</t>
  </si>
  <si>
    <t>ПО</t>
  </si>
  <si>
    <t>НП</t>
  </si>
  <si>
    <t>ПК</t>
  </si>
  <si>
    <t>5 или 6</t>
  </si>
  <si>
    <t>Код</t>
  </si>
  <si>
    <t>16. Поиск одобрения (НД)</t>
  </si>
  <si>
    <t>5. Дефективность / стыд (РСО)</t>
  </si>
  <si>
    <t>6. Неуспешность / обреченность на неудачу (НЛАНД)</t>
  </si>
  <si>
    <r>
      <t xml:space="preserve">15. Недостаток самоконтроля / самодисциплины </t>
    </r>
    <r>
      <rPr>
        <i/>
        <sz val="10"/>
        <color rgb="FF000000"/>
        <rFont val="Arial"/>
        <family val="2"/>
        <charset val="204"/>
      </rPr>
      <t>(НГ)</t>
    </r>
    <r>
      <rPr>
        <sz val="10"/>
        <color rgb="FF000000"/>
        <rFont val="Arial"/>
        <family val="2"/>
        <charset val="204"/>
      </rPr>
      <t xml:space="preserve">  </t>
    </r>
  </si>
  <si>
    <t>14. Привилегированность / грандиозность (НГ)</t>
  </si>
  <si>
    <t>11. Самопожертвование (НД)</t>
  </si>
  <si>
    <t>10. Покорность / подчинение (НД)</t>
  </si>
  <si>
    <t>9. Слитность с другими / неразвитое Я (НЛАНД)</t>
  </si>
  <si>
    <r>
      <t xml:space="preserve">8. Уязвимость (перед физическим вредом или болезнями) </t>
    </r>
    <r>
      <rPr>
        <i/>
        <sz val="10"/>
        <color rgb="FF000000"/>
        <rFont val="Arial"/>
        <family val="2"/>
        <charset val="204"/>
      </rPr>
      <t>(НЛАНД)</t>
    </r>
  </si>
  <si>
    <t>7. Зависимость / некомпетентность (НЛАНД)</t>
  </si>
  <si>
    <t>4. Социальная изоляция/ отчуждение (РСО)</t>
  </si>
  <si>
    <t>3. Недоверие / насилие (РСО)</t>
  </si>
  <si>
    <t>2. Покинутость / нестабильность (РСО)</t>
  </si>
  <si>
    <t>1. Эмоциональная депривация (РСО)</t>
  </si>
  <si>
    <t>Средний балл</t>
  </si>
  <si>
    <t>Группа схем</t>
  </si>
  <si>
    <t>Разобщенность и отвержение (РСО)</t>
  </si>
  <si>
    <t>Нарушение личностной автономии и непризнание достижений (НЛАНД)</t>
  </si>
  <si>
    <t>Нарушенные границы (НГ)</t>
  </si>
  <si>
    <t>Направленность на других (НД)</t>
  </si>
  <si>
    <t>Сверхбдительность и подавление (СбП)</t>
  </si>
  <si>
    <t>12. Подавление эмоций (СбП)</t>
  </si>
  <si>
    <t>17. Негативизм / пессимизм (СбП)</t>
  </si>
  <si>
    <t>18. Пунитивность / карательность (СбП)</t>
  </si>
  <si>
    <t>13. Жёсткие стандарты / завышенные требования к себе (СбП)</t>
  </si>
  <si>
    <t>Сумма баллов</t>
  </si>
  <si>
    <t>Тестовый показатель</t>
  </si>
  <si>
    <t>Уровень т/п</t>
  </si>
  <si>
    <t>Пол: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</si>
</sst>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  <charset val="204"/>
    </font>
    <font>
      <b/>
      <sz val="11"/>
      <color theme="0"/>
      <name val="Arial"/>
      <family val="2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theme="0"/>
      <name val="Arial"/>
      <family val="2"/>
      <charset val="204"/>
    </font>
    <font>
      <sz val="12"/>
      <color theme="1"/>
      <name val="Arial Black"/>
      <family val="2"/>
      <charset val="204"/>
    </font>
    <font>
      <b/>
      <i/>
      <sz val="11"/>
      <color theme="0"/>
      <name val="Arial"/>
      <family val="2"/>
      <charset val="204"/>
    </font>
    <font>
      <sz val="8"/>
      <name val="Calibri"/>
      <family val="2"/>
      <charset val="204"/>
      <scheme val="minor"/>
    </font>
    <font>
      <b/>
      <i/>
      <sz val="11"/>
      <name val="Arial"/>
      <family val="2"/>
      <charset val="204"/>
    </font>
    <font>
      <i/>
      <sz val="11.5"/>
      <color rgb="FF000000"/>
      <name val="Times New Roman"/>
      <family val="1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theme="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10" fillId="4" borderId="0" xfId="0" applyFont="1" applyFill="1" applyAlignment="1">
      <alignment horizontal="left" vertical="top"/>
    </xf>
    <xf numFmtId="0" fontId="10" fillId="4" borderId="0" xfId="0" applyFont="1" applyFill="1"/>
    <xf numFmtId="0" fontId="10" fillId="4" borderId="0" xfId="0" applyFont="1" applyFill="1" applyAlignment="1">
      <alignment horizontal="left" vertical="top" wrapText="1"/>
    </xf>
    <xf numFmtId="0" fontId="10" fillId="4" borderId="0" xfId="0" applyFont="1" applyFill="1" applyAlignment="1">
      <alignment horizontal="left"/>
    </xf>
    <xf numFmtId="0" fontId="4" fillId="4" borderId="0" xfId="0" applyFont="1" applyFill="1" applyAlignment="1">
      <alignment vertical="top" wrapText="1"/>
    </xf>
    <xf numFmtId="0" fontId="0" fillId="4" borderId="0" xfId="0" applyFill="1"/>
    <xf numFmtId="0" fontId="7" fillId="0" borderId="0" xfId="0" applyFont="1" applyAlignment="1">
      <alignment vertical="center"/>
    </xf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vertical="center"/>
    </xf>
    <xf numFmtId="1" fontId="10" fillId="0" borderId="0" xfId="0" applyNumberFormat="1" applyFont="1" applyAlignment="1">
      <alignment horizontal="center" vertical="center"/>
    </xf>
    <xf numFmtId="1" fontId="10" fillId="4" borderId="0" xfId="0" applyNumberFormat="1" applyFont="1" applyFill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15" fillId="0" borderId="0" xfId="0" applyFont="1" applyBorder="1" applyAlignment="1">
      <alignment vertical="center" wrapText="1"/>
    </xf>
    <xf numFmtId="0" fontId="0" fillId="0" borderId="0" xfId="0" applyBorder="1"/>
    <xf numFmtId="0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/>
    </xf>
    <xf numFmtId="1" fontId="19" fillId="0" borderId="1" xfId="0" applyNumberFormat="1" applyFont="1" applyBorder="1" applyAlignment="1">
      <alignment horizontal="center"/>
    </xf>
    <xf numFmtId="0" fontId="19" fillId="0" borderId="1" xfId="0" applyNumberFormat="1" applyFont="1" applyBorder="1" applyAlignment="1">
      <alignment horizontal="center"/>
    </xf>
    <xf numFmtId="0" fontId="20" fillId="0" borderId="1" xfId="0" applyFont="1" applyBorder="1"/>
    <xf numFmtId="0" fontId="19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9" fontId="16" fillId="0" borderId="1" xfId="1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3" fillId="3" borderId="0" xfId="0" applyNumberFormat="1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4" borderId="0" xfId="0" applyFont="1" applyFill="1" applyAlignment="1">
      <alignment horizontal="center"/>
    </xf>
    <xf numFmtId="14" fontId="10" fillId="4" borderId="0" xfId="0" applyNumberFormat="1" applyFont="1" applyFill="1" applyAlignment="1">
      <alignment horizontal="center"/>
    </xf>
    <xf numFmtId="0" fontId="2" fillId="2" borderId="0" xfId="0" applyFont="1" applyFill="1"/>
    <xf numFmtId="0" fontId="0" fillId="0" borderId="0" xfId="0"/>
    <xf numFmtId="0" fontId="6" fillId="2" borderId="0" xfId="0" applyFont="1" applyFill="1"/>
    <xf numFmtId="0" fontId="5" fillId="0" borderId="0" xfId="0" applyFont="1"/>
  </cellXfs>
  <cellStyles count="2">
    <cellStyle name="Normal" xfId="0" builtinId="0"/>
    <cellStyle name="Percent" xfId="1" builtinId="5"/>
  </cellStyles>
  <dxfs count="5">
    <dxf>
      <font>
        <color auto="1"/>
      </font>
      <fill>
        <patternFill>
          <bgColor rgb="FFE59361"/>
        </patternFill>
      </fill>
    </dxf>
    <dxf>
      <fill>
        <patternFill>
          <bgColor rgb="FFE75F5F"/>
        </patternFill>
      </fill>
    </dxf>
    <dxf>
      <fill>
        <patternFill>
          <bgColor rgb="FFE0C562"/>
        </patternFill>
      </fill>
    </dxf>
    <dxf>
      <fill>
        <patternFill>
          <bgColor rgb="FFB9C668"/>
        </patternFill>
      </fill>
    </dxf>
    <dxf>
      <fill>
        <patternFill>
          <bgColor rgb="FF4EB26D"/>
        </patternFill>
      </fill>
    </dxf>
  </dxfs>
  <tableStyles count="0" defaultTableStyle="TableStyleMedium2" defaultPivotStyle="PivotStyleLight16"/>
  <colors>
    <mruColors>
      <color rgb="FFE75F5F"/>
      <color rgb="FF4EB26D"/>
      <color rgb="FF42985D"/>
      <color rgb="FF4ABA4F"/>
      <color rgb="FF59D582"/>
      <color rgb="FF59D5A6"/>
      <color rgb="FF66C887"/>
      <color rgb="FF8DC36B"/>
      <color rgb="FFB9C668"/>
      <color rgb="FFCAC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Общий балл для каждой схемы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9A81B9"/>
            </a:solidFill>
            <a:ln>
              <a:noFill/>
            </a:ln>
            <a:effectLst/>
          </c:spPr>
          <c:invertIfNegative val="0"/>
          <c:cat>
            <c:strRef>
              <c:f>Результаты!$B$100:$B$117</c:f>
              <c:strCache>
                <c:ptCount val="18"/>
                <c:pt idx="0">
                  <c:v>1. Эмоциональная депривация (РСО)</c:v>
                </c:pt>
                <c:pt idx="1">
                  <c:v>2. Покинутость / нестабильность (РСО)</c:v>
                </c:pt>
                <c:pt idx="2">
                  <c:v>3. Недоверие / насилие (РСО)</c:v>
                </c:pt>
                <c:pt idx="3">
                  <c:v>4. Социальная изоляция/ отчуждение (РСО)</c:v>
                </c:pt>
                <c:pt idx="4">
                  <c:v>5. Дефективность / стыд (РСО)</c:v>
                </c:pt>
                <c:pt idx="5">
                  <c:v>6. Неуспешность / обреченность на неудачу (НЛАНД)</c:v>
                </c:pt>
                <c:pt idx="6">
                  <c:v>7. Зависимость / некомпетентность (НЛАНД)</c:v>
                </c:pt>
                <c:pt idx="7">
                  <c:v>8. Уязвимость (перед физическим вредом или болезнями) (НЛАНД)</c:v>
                </c:pt>
                <c:pt idx="8">
                  <c:v>9. Слитность с другими / неразвитое Я (НЛАНД)</c:v>
                </c:pt>
                <c:pt idx="9">
                  <c:v>10. Покорность / подчинение (НД)</c:v>
                </c:pt>
                <c:pt idx="10">
                  <c:v>11. Самопожертвование (НД)</c:v>
                </c:pt>
                <c:pt idx="11">
                  <c:v>12. Подавление эмоций (СбП)</c:v>
                </c:pt>
                <c:pt idx="12">
                  <c:v>13. Жёсткие стандарты / завышенные требования к себе (СбП)</c:v>
                </c:pt>
                <c:pt idx="13">
                  <c:v>14. Привилегированность / грандиозность (НГ)</c:v>
                </c:pt>
                <c:pt idx="14">
                  <c:v>15. Недостаток самоконтроля / самодисциплины (НГ)  </c:v>
                </c:pt>
                <c:pt idx="15">
                  <c:v>16. Поиск одобрения (НД)</c:v>
                </c:pt>
                <c:pt idx="16">
                  <c:v>17. Негативизм / пессимизм (СбП)</c:v>
                </c:pt>
                <c:pt idx="17">
                  <c:v>18. Пунитивность / карательность (СбП)</c:v>
                </c:pt>
              </c:strCache>
            </c:strRef>
          </c:cat>
          <c:val>
            <c:numRef>
              <c:f>Результаты!$F$100:$F$117</c:f>
              <c:numCache>
                <c:formatCode>0</c:formatCode>
                <c:ptCount val="18"/>
                <c:pt idx="0">
                  <c:v>13</c:v>
                </c:pt>
                <c:pt idx="1">
                  <c:v>19</c:v>
                </c:pt>
                <c:pt idx="2">
                  <c:v>20</c:v>
                </c:pt>
                <c:pt idx="3">
                  <c:v>16</c:v>
                </c:pt>
                <c:pt idx="4">
                  <c:v>9</c:v>
                </c:pt>
                <c:pt idx="5">
                  <c:v>9</c:v>
                </c:pt>
                <c:pt idx="6">
                  <c:v>12</c:v>
                </c:pt>
                <c:pt idx="7">
                  <c:v>19</c:v>
                </c:pt>
                <c:pt idx="8">
                  <c:v>15</c:v>
                </c:pt>
                <c:pt idx="9">
                  <c:v>14</c:v>
                </c:pt>
                <c:pt idx="10">
                  <c:v>20</c:v>
                </c:pt>
                <c:pt idx="11">
                  <c:v>16</c:v>
                </c:pt>
                <c:pt idx="12">
                  <c:v>21</c:v>
                </c:pt>
                <c:pt idx="13">
                  <c:v>13</c:v>
                </c:pt>
                <c:pt idx="14">
                  <c:v>16</c:v>
                </c:pt>
                <c:pt idx="15">
                  <c:v>14</c:v>
                </c:pt>
                <c:pt idx="16">
                  <c:v>19</c:v>
                </c:pt>
                <c:pt idx="1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1-4045-95DA-615517472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00636768"/>
        <c:axId val="200636376"/>
      </c:barChart>
      <c:catAx>
        <c:axId val="2006367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36376"/>
        <c:crosses val="autoZero"/>
        <c:auto val="1"/>
        <c:lblAlgn val="ctr"/>
        <c:lblOffset val="100"/>
        <c:noMultiLvlLbl val="0"/>
      </c:catAx>
      <c:valAx>
        <c:axId val="2006363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3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</a:t>
            </a:r>
            <a:r>
              <a:rPr lang="ru-RU" baseline="0"/>
              <a:t> балл для каждой группы схем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50260254503452084"/>
          <c:y val="0.27331242918542503"/>
          <c:w val="0.463333682494317"/>
          <c:h val="0.6705781280813503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394D1"/>
            </a:solidFill>
            <a:ln>
              <a:noFill/>
            </a:ln>
            <a:effectLst/>
          </c:spPr>
          <c:invertIfNegative val="0"/>
          <c:cat>
            <c:strRef>
              <c:f>Результаты!$J$100:$J$104</c:f>
              <c:strCache>
                <c:ptCount val="5"/>
                <c:pt idx="0">
                  <c:v>Разобщенность и отвержение (РСО)</c:v>
                </c:pt>
                <c:pt idx="1">
                  <c:v>Нарушение личностной автономии и непризнание достижений (НЛАНД)</c:v>
                </c:pt>
                <c:pt idx="2">
                  <c:v>Нарушенные границы (НГ)</c:v>
                </c:pt>
                <c:pt idx="3">
                  <c:v>Направленность на других (НД)</c:v>
                </c:pt>
                <c:pt idx="4">
                  <c:v>Сверхбдительность и подавление (СбП)</c:v>
                </c:pt>
              </c:strCache>
            </c:strRef>
          </c:cat>
          <c:val>
            <c:numRef>
              <c:f>Результаты!$K$100:$K$104</c:f>
              <c:numCache>
                <c:formatCode>General</c:formatCode>
                <c:ptCount val="5"/>
                <c:pt idx="0" formatCode="0.0">
                  <c:v>3.0800000000000005</c:v>
                </c:pt>
                <c:pt idx="1">
                  <c:v>2.75</c:v>
                </c:pt>
                <c:pt idx="2">
                  <c:v>2.9000000000000004</c:v>
                </c:pt>
                <c:pt idx="3">
                  <c:v>3.1999999999999997</c:v>
                </c:pt>
                <c:pt idx="4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7-42EC-8D85-885920846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6"/>
        <c:axId val="200634024"/>
        <c:axId val="200637160"/>
      </c:barChart>
      <c:catAx>
        <c:axId val="2006340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37160"/>
        <c:crosses val="autoZero"/>
        <c:auto val="1"/>
        <c:lblAlgn val="ctr"/>
        <c:lblOffset val="100"/>
        <c:noMultiLvlLbl val="0"/>
      </c:catAx>
      <c:valAx>
        <c:axId val="200637160"/>
        <c:scaling>
          <c:orientation val="minMax"/>
          <c:max val="6"/>
          <c:min val="1"/>
        </c:scaling>
        <c:delete val="0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340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</a:t>
            </a:r>
            <a:r>
              <a:rPr lang="ru-RU" baseline="0"/>
              <a:t> 5-к и 6-к для каждой схемы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3759548668661324"/>
          <c:y val="0.14308044091905445"/>
          <c:w val="0.51833535732000691"/>
          <c:h val="0.8275459816336292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0C7E0"/>
            </a:solidFill>
            <a:ln>
              <a:noFill/>
            </a:ln>
            <a:effectLst/>
          </c:spPr>
          <c:invertIfNegative val="0"/>
          <c:cat>
            <c:strRef>
              <c:f>Результаты!$B$100:$B$117</c:f>
              <c:strCache>
                <c:ptCount val="18"/>
                <c:pt idx="0">
                  <c:v>1. Эмоциональная депривация (РСО)</c:v>
                </c:pt>
                <c:pt idx="1">
                  <c:v>2. Покинутость / нестабильность (РСО)</c:v>
                </c:pt>
                <c:pt idx="2">
                  <c:v>3. Недоверие / насилие (РСО)</c:v>
                </c:pt>
                <c:pt idx="3">
                  <c:v>4. Социальная изоляция/ отчуждение (РСО)</c:v>
                </c:pt>
                <c:pt idx="4">
                  <c:v>5. Дефективность / стыд (РСО)</c:v>
                </c:pt>
                <c:pt idx="5">
                  <c:v>6. Неуспешность / обреченность на неудачу (НЛАНД)</c:v>
                </c:pt>
                <c:pt idx="6">
                  <c:v>7. Зависимость / некомпетентность (НЛАНД)</c:v>
                </c:pt>
                <c:pt idx="7">
                  <c:v>8. Уязвимость (перед физическим вредом или болезнями) (НЛАНД)</c:v>
                </c:pt>
                <c:pt idx="8">
                  <c:v>9. Слитность с другими / неразвитое Я (НЛАНД)</c:v>
                </c:pt>
                <c:pt idx="9">
                  <c:v>10. Покорность / подчинение (НД)</c:v>
                </c:pt>
                <c:pt idx="10">
                  <c:v>11. Самопожертвование (НД)</c:v>
                </c:pt>
                <c:pt idx="11">
                  <c:v>12. Подавление эмоций (СбП)</c:v>
                </c:pt>
                <c:pt idx="12">
                  <c:v>13. Жёсткие стандарты / завышенные требования к себе (СбП)</c:v>
                </c:pt>
                <c:pt idx="13">
                  <c:v>14. Привилегированность / грандиозность (НГ)</c:v>
                </c:pt>
                <c:pt idx="14">
                  <c:v>15. Недостаток самоконтроля / самодисциплины (НГ)  </c:v>
                </c:pt>
                <c:pt idx="15">
                  <c:v>16. Поиск одобрения (НД)</c:v>
                </c:pt>
                <c:pt idx="16">
                  <c:v>17. Негативизм / пессимизм (СбП)</c:v>
                </c:pt>
                <c:pt idx="17">
                  <c:v>18. Пунитивность / карательность (СбП)</c:v>
                </c:pt>
              </c:strCache>
            </c:strRef>
          </c:cat>
          <c:val>
            <c:numRef>
              <c:f>Результаты!$E$100:$E$117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1-4F58-AD84-77E0E95CD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00629712"/>
        <c:axId val="200630496"/>
      </c:barChart>
      <c:catAx>
        <c:axId val="2006297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30496"/>
        <c:crosses val="autoZero"/>
        <c:auto val="1"/>
        <c:lblAlgn val="ctr"/>
        <c:lblOffset val="100"/>
        <c:noMultiLvlLbl val="0"/>
      </c:catAx>
      <c:valAx>
        <c:axId val="200630496"/>
        <c:scaling>
          <c:orientation val="minMax"/>
          <c:max val="5"/>
        </c:scaling>
        <c:delete val="0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297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5860</xdr:colOff>
      <xdr:row>119</xdr:row>
      <xdr:rowOff>5862</xdr:rowOff>
    </xdr:from>
    <xdr:to>
      <xdr:col>8</xdr:col>
      <xdr:colOff>0</xdr:colOff>
      <xdr:row>145</xdr:row>
      <xdr:rowOff>7620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BD2EDB8-83EF-474B-8F88-CB5BB183C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</xdr:colOff>
      <xdr:row>146</xdr:row>
      <xdr:rowOff>2</xdr:rowOff>
    </xdr:from>
    <xdr:to>
      <xdr:col>7</xdr:col>
      <xdr:colOff>679174</xdr:colOff>
      <xdr:row>159</xdr:row>
      <xdr:rowOff>120952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19AE236-4E4E-4548-919E-D652CCA7B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542638</xdr:colOff>
      <xdr:row>119</xdr:row>
      <xdr:rowOff>34636</xdr:rowOff>
    </xdr:from>
    <xdr:to>
      <xdr:col>14</xdr:col>
      <xdr:colOff>1236369</xdr:colOff>
      <xdr:row>145</xdr:row>
      <xdr:rowOff>36394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2AA551FC-FA77-4480-8718-8F59EDCE5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9E7D-831E-4D41-99EE-9C4E40A535DC}">
  <dimension ref="B2:R254"/>
  <sheetViews>
    <sheetView showGridLines="0" topLeftCell="A26" zoomScale="97" workbookViewId="0">
      <selection activeCell="J11" sqref="J11"/>
    </sheetView>
  </sheetViews>
  <sheetFormatPr defaultRowHeight="14.5" x14ac:dyDescent="0.35"/>
  <cols>
    <col min="2" max="2" width="17.54296875" customWidth="1"/>
    <col min="7" max="7" width="14.7265625" bestFit="1" customWidth="1"/>
    <col min="9" max="9" width="6.26953125" customWidth="1"/>
    <col min="16" max="16" width="21.26953125" customWidth="1"/>
    <col min="17" max="17" width="12.453125" customWidth="1"/>
  </cols>
  <sheetData>
    <row r="2" spans="2:18" x14ac:dyDescent="0.35">
      <c r="B2" s="49" t="s">
        <v>0</v>
      </c>
      <c r="E2" s="40"/>
      <c r="F2" s="50"/>
      <c r="G2" s="50"/>
      <c r="H2" s="50"/>
      <c r="J2" s="49" t="s">
        <v>157</v>
      </c>
      <c r="M2" s="40"/>
      <c r="N2" s="50"/>
      <c r="O2" s="50"/>
      <c r="P2" s="50"/>
      <c r="R2" s="1"/>
    </row>
    <row r="3" spans="2:18" ht="7.9" customHeight="1" x14ac:dyDescent="0.35">
      <c r="B3" s="2"/>
      <c r="C3" s="3"/>
      <c r="D3" s="3"/>
      <c r="E3" s="4"/>
      <c r="F3" s="4"/>
      <c r="G3" s="4"/>
      <c r="H3" s="4"/>
      <c r="R3" s="1"/>
    </row>
    <row r="4" spans="2:18" x14ac:dyDescent="0.35">
      <c r="B4" s="49" t="s">
        <v>1</v>
      </c>
      <c r="E4" s="43"/>
      <c r="F4" s="50"/>
      <c r="G4" s="50"/>
      <c r="H4" s="50"/>
      <c r="R4" s="1"/>
    </row>
    <row r="5" spans="2:18" ht="7.9" customHeight="1" x14ac:dyDescent="0.35">
      <c r="B5" s="2"/>
      <c r="C5" s="3"/>
      <c r="D5" s="3"/>
      <c r="E5" s="4"/>
      <c r="F5" s="4"/>
      <c r="G5" s="4"/>
      <c r="H5" s="4"/>
      <c r="R5" s="1"/>
    </row>
    <row r="6" spans="2:18" x14ac:dyDescent="0.35">
      <c r="B6" s="51" t="s">
        <v>2</v>
      </c>
      <c r="E6" s="40"/>
      <c r="F6" s="50"/>
      <c r="G6" s="50"/>
      <c r="H6" s="50"/>
      <c r="Q6" s="5"/>
      <c r="R6" s="1"/>
    </row>
    <row r="7" spans="2:18" ht="7.9" customHeight="1" x14ac:dyDescent="0.35">
      <c r="B7" s="2"/>
      <c r="E7" s="4"/>
      <c r="F7" s="4"/>
      <c r="G7" s="4"/>
      <c r="H7" s="4"/>
      <c r="R7" s="1"/>
    </row>
    <row r="8" spans="2:18" x14ac:dyDescent="0.35">
      <c r="B8" s="49" t="s">
        <v>3</v>
      </c>
      <c r="E8" s="44"/>
      <c r="F8" s="50"/>
      <c r="G8" s="50"/>
      <c r="H8" s="50"/>
      <c r="R8" s="1"/>
    </row>
    <row r="9" spans="2:18" ht="16.149999999999999" customHeight="1" x14ac:dyDescent="0.35">
      <c r="B9" s="6"/>
      <c r="R9" s="1"/>
    </row>
    <row r="10" spans="2:18" ht="16.149999999999999" customHeight="1" x14ac:dyDescent="0.35">
      <c r="B10" s="9" t="s">
        <v>4</v>
      </c>
    </row>
    <row r="11" spans="2:18" x14ac:dyDescent="0.35">
      <c r="M11" s="52"/>
      <c r="N11" s="52"/>
      <c r="O11" s="52"/>
      <c r="P11" s="52"/>
      <c r="Q11" s="52"/>
      <c r="R11" s="52"/>
    </row>
    <row r="12" spans="2:18" ht="59.5" customHeight="1" x14ac:dyDescent="0.35">
      <c r="B12" s="45" t="s">
        <v>12</v>
      </c>
      <c r="C12" s="50"/>
      <c r="D12" s="50"/>
      <c r="E12" s="50"/>
      <c r="F12" s="50"/>
      <c r="G12" s="50"/>
      <c r="H12" s="50"/>
      <c r="I12" s="7"/>
    </row>
    <row r="13" spans="2:18" ht="14.5" customHeight="1" x14ac:dyDescent="0.35">
      <c r="B13" s="7"/>
      <c r="C13" s="7"/>
      <c r="D13" s="7"/>
      <c r="E13" s="7"/>
      <c r="F13" s="7"/>
      <c r="G13" s="7"/>
      <c r="H13" s="7"/>
      <c r="I13" s="7"/>
    </row>
    <row r="14" spans="2:18" ht="29.5" customHeight="1" x14ac:dyDescent="0.35">
      <c r="B14" s="46" t="s">
        <v>5</v>
      </c>
      <c r="C14" s="50"/>
      <c r="D14" s="50"/>
      <c r="E14" s="50"/>
      <c r="F14" s="50"/>
      <c r="G14" s="50"/>
      <c r="H14" s="50"/>
      <c r="I14" s="7"/>
    </row>
    <row r="15" spans="2:18" ht="13.9" customHeight="1" x14ac:dyDescent="0.35">
      <c r="B15" s="7"/>
      <c r="C15" s="7"/>
      <c r="D15" s="7"/>
      <c r="E15" s="7"/>
      <c r="F15" s="7"/>
      <c r="G15" s="7"/>
      <c r="H15" s="7"/>
      <c r="I15" s="7"/>
    </row>
    <row r="16" spans="2:18" ht="14.5" customHeight="1" x14ac:dyDescent="0.35">
      <c r="B16" s="10" t="s">
        <v>6</v>
      </c>
      <c r="C16" s="11"/>
      <c r="D16" s="12"/>
      <c r="E16" s="12"/>
      <c r="F16" s="10" t="s">
        <v>9</v>
      </c>
      <c r="G16" s="12"/>
      <c r="H16" s="12"/>
      <c r="I16" s="14"/>
    </row>
    <row r="17" spans="2:17" x14ac:dyDescent="0.35">
      <c r="B17" s="13" t="s">
        <v>7</v>
      </c>
      <c r="C17" s="11"/>
      <c r="D17" s="13"/>
      <c r="E17" s="13"/>
      <c r="F17" s="13" t="s">
        <v>10</v>
      </c>
      <c r="G17" s="13"/>
      <c r="H17" s="13"/>
      <c r="I17" s="15"/>
    </row>
    <row r="18" spans="2:17" x14ac:dyDescent="0.35">
      <c r="B18" s="13" t="s">
        <v>8</v>
      </c>
      <c r="C18" s="11"/>
      <c r="D18" s="13"/>
      <c r="E18" s="13"/>
      <c r="F18" s="13" t="s">
        <v>11</v>
      </c>
      <c r="G18" s="13"/>
      <c r="H18" s="13"/>
      <c r="I18" s="15"/>
    </row>
    <row r="20" spans="2:17" x14ac:dyDescent="0.35">
      <c r="B20" s="19" t="s">
        <v>23</v>
      </c>
      <c r="Q20" s="18" t="s">
        <v>24</v>
      </c>
    </row>
    <row r="21" spans="2:17" x14ac:dyDescent="0.35">
      <c r="Q21" s="20"/>
    </row>
    <row r="22" spans="2:17" x14ac:dyDescent="0.35">
      <c r="B22" s="16" t="s">
        <v>13</v>
      </c>
      <c r="C22" s="8"/>
      <c r="D22" s="8"/>
      <c r="Q22" s="21">
        <v>4</v>
      </c>
    </row>
    <row r="23" spans="2:17" x14ac:dyDescent="0.35">
      <c r="B23" s="8"/>
      <c r="C23" s="8"/>
      <c r="D23" s="8"/>
      <c r="Q23" s="20"/>
    </row>
    <row r="24" spans="2:17" x14ac:dyDescent="0.35">
      <c r="B24" s="16" t="s">
        <v>14</v>
      </c>
      <c r="C24" s="8"/>
      <c r="D24" s="8"/>
      <c r="Q24" s="21">
        <v>4</v>
      </c>
    </row>
    <row r="25" spans="2:17" x14ac:dyDescent="0.35">
      <c r="B25" s="8"/>
      <c r="C25" s="8"/>
      <c r="D25" s="8"/>
      <c r="Q25" s="20"/>
    </row>
    <row r="26" spans="2:17" x14ac:dyDescent="0.35">
      <c r="B26" s="16" t="s">
        <v>15</v>
      </c>
      <c r="C26" s="8"/>
      <c r="D26" s="8"/>
      <c r="Q26" s="21">
        <v>4</v>
      </c>
    </row>
    <row r="27" spans="2:17" x14ac:dyDescent="0.35">
      <c r="B27" s="8"/>
      <c r="C27" s="8"/>
      <c r="D27" s="8"/>
      <c r="Q27" s="20"/>
    </row>
    <row r="28" spans="2:17" x14ac:dyDescent="0.35">
      <c r="B28" s="16" t="s">
        <v>16</v>
      </c>
      <c r="C28" s="8"/>
      <c r="D28" s="8"/>
      <c r="Q28" s="21">
        <v>4</v>
      </c>
    </row>
    <row r="29" spans="2:17" x14ac:dyDescent="0.35">
      <c r="B29" s="8"/>
      <c r="C29" s="8"/>
      <c r="D29" s="8"/>
      <c r="Q29" s="20"/>
    </row>
    <row r="30" spans="2:17" x14ac:dyDescent="0.35">
      <c r="B30" s="16" t="s">
        <v>17</v>
      </c>
      <c r="C30" s="8"/>
      <c r="D30" s="8"/>
      <c r="Q30" s="21">
        <v>2</v>
      </c>
    </row>
    <row r="31" spans="2:17" x14ac:dyDescent="0.35">
      <c r="B31" s="8"/>
      <c r="C31" s="8"/>
      <c r="D31" s="8"/>
      <c r="Q31" s="20"/>
    </row>
    <row r="32" spans="2:17" x14ac:dyDescent="0.35">
      <c r="B32" s="16" t="s">
        <v>18</v>
      </c>
      <c r="C32" s="8"/>
      <c r="D32" s="8"/>
      <c r="Q32" s="21">
        <v>1</v>
      </c>
    </row>
    <row r="33" spans="2:17" x14ac:dyDescent="0.35">
      <c r="B33" s="8"/>
      <c r="C33" s="8"/>
      <c r="D33" s="8"/>
      <c r="Q33" s="20"/>
    </row>
    <row r="34" spans="2:17" x14ac:dyDescent="0.35">
      <c r="B34" s="16" t="s">
        <v>19</v>
      </c>
      <c r="C34" s="8"/>
      <c r="D34" s="8"/>
      <c r="Q34" s="21">
        <v>2</v>
      </c>
    </row>
    <row r="35" spans="2:17" x14ac:dyDescent="0.35">
      <c r="B35" s="8"/>
      <c r="C35" s="8"/>
      <c r="D35" s="8"/>
      <c r="Q35" s="20"/>
    </row>
    <row r="36" spans="2:17" x14ac:dyDescent="0.35">
      <c r="B36" s="16" t="s">
        <v>20</v>
      </c>
      <c r="C36" s="8"/>
      <c r="D36" s="8"/>
      <c r="Q36" s="21">
        <v>4</v>
      </c>
    </row>
    <row r="37" spans="2:17" x14ac:dyDescent="0.35">
      <c r="B37" s="8"/>
      <c r="C37" s="8"/>
      <c r="D37" s="8"/>
      <c r="Q37" s="20"/>
    </row>
    <row r="38" spans="2:17" x14ac:dyDescent="0.35">
      <c r="B38" s="16" t="s">
        <v>21</v>
      </c>
      <c r="C38" s="8"/>
      <c r="D38" s="8"/>
      <c r="Q38" s="21">
        <v>2</v>
      </c>
    </row>
    <row r="39" spans="2:17" x14ac:dyDescent="0.35">
      <c r="B39" s="8"/>
      <c r="C39" s="8"/>
      <c r="D39" s="8"/>
      <c r="Q39" s="20"/>
    </row>
    <row r="40" spans="2:17" x14ac:dyDescent="0.35">
      <c r="B40" s="16" t="s">
        <v>22</v>
      </c>
      <c r="C40" s="8"/>
      <c r="D40" s="8"/>
      <c r="Q40" s="21">
        <v>2</v>
      </c>
    </row>
    <row r="41" spans="2:17" x14ac:dyDescent="0.35">
      <c r="B41" s="8"/>
      <c r="C41" s="8"/>
      <c r="D41" s="8"/>
      <c r="Q41" s="20"/>
    </row>
    <row r="42" spans="2:17" x14ac:dyDescent="0.35">
      <c r="B42" s="16" t="s">
        <v>25</v>
      </c>
      <c r="C42" s="8"/>
      <c r="D42" s="8"/>
      <c r="Q42" s="21">
        <v>3</v>
      </c>
    </row>
    <row r="43" spans="2:17" x14ac:dyDescent="0.35">
      <c r="Q43" s="20"/>
    </row>
    <row r="44" spans="2:17" x14ac:dyDescent="0.35">
      <c r="Q44" s="20"/>
    </row>
    <row r="45" spans="2:17" x14ac:dyDescent="0.35">
      <c r="B45" s="10" t="s">
        <v>6</v>
      </c>
      <c r="C45" s="11"/>
      <c r="D45" s="12"/>
      <c r="E45" s="12"/>
      <c r="F45" s="10" t="s">
        <v>9</v>
      </c>
      <c r="G45" s="12"/>
      <c r="H45" s="12"/>
      <c r="I45" s="14"/>
      <c r="Q45" s="8"/>
    </row>
    <row r="46" spans="2:17" x14ac:dyDescent="0.35">
      <c r="B46" s="13" t="s">
        <v>7</v>
      </c>
      <c r="C46" s="11"/>
      <c r="D46" s="13"/>
      <c r="E46" s="13"/>
      <c r="F46" s="13" t="s">
        <v>10</v>
      </c>
      <c r="G46" s="13"/>
      <c r="H46" s="13"/>
      <c r="I46" s="15"/>
      <c r="Q46" s="8"/>
    </row>
    <row r="47" spans="2:17" x14ac:dyDescent="0.35">
      <c r="B47" s="13" t="s">
        <v>8</v>
      </c>
      <c r="C47" s="11"/>
      <c r="D47" s="13"/>
      <c r="E47" s="13"/>
      <c r="F47" s="13" t="s">
        <v>11</v>
      </c>
      <c r="G47" s="13"/>
      <c r="H47" s="13"/>
      <c r="I47" s="15"/>
      <c r="Q47" s="8"/>
    </row>
    <row r="48" spans="2:17" x14ac:dyDescent="0.35">
      <c r="Q48" s="8"/>
    </row>
    <row r="49" spans="2:17" x14ac:dyDescent="0.35">
      <c r="B49" s="19" t="s">
        <v>23</v>
      </c>
      <c r="Q49" s="18" t="s">
        <v>24</v>
      </c>
    </row>
    <row r="50" spans="2:17" x14ac:dyDescent="0.35">
      <c r="Q50" s="22"/>
    </row>
    <row r="51" spans="2:17" x14ac:dyDescent="0.35">
      <c r="B51" s="16" t="s">
        <v>26</v>
      </c>
      <c r="C51" s="8"/>
      <c r="D51" s="8"/>
      <c r="Q51" s="21">
        <v>2</v>
      </c>
    </row>
    <row r="52" spans="2:17" x14ac:dyDescent="0.35">
      <c r="B52" s="8"/>
      <c r="C52" s="8"/>
      <c r="D52" s="8"/>
      <c r="Q52" s="20"/>
    </row>
    <row r="53" spans="2:17" x14ac:dyDescent="0.35">
      <c r="B53" s="16" t="s">
        <v>27</v>
      </c>
      <c r="C53" s="8"/>
      <c r="D53" s="8"/>
      <c r="Q53" s="21">
        <v>4</v>
      </c>
    </row>
    <row r="54" spans="2:17" x14ac:dyDescent="0.35">
      <c r="B54" s="8"/>
      <c r="C54" s="8"/>
      <c r="D54" s="8"/>
      <c r="Q54" s="20"/>
    </row>
    <row r="55" spans="2:17" x14ac:dyDescent="0.35">
      <c r="B55" s="16" t="s">
        <v>28</v>
      </c>
      <c r="C55" s="8"/>
      <c r="D55" s="8"/>
      <c r="Q55" s="21">
        <v>2</v>
      </c>
    </row>
    <row r="56" spans="2:17" x14ac:dyDescent="0.35">
      <c r="B56" s="8"/>
      <c r="C56" s="8"/>
      <c r="D56" s="8"/>
      <c r="Q56" s="20"/>
    </row>
    <row r="57" spans="2:17" x14ac:dyDescent="0.35">
      <c r="B57" s="16" t="s">
        <v>29</v>
      </c>
      <c r="C57" s="8"/>
      <c r="D57" s="8"/>
      <c r="Q57" s="21">
        <v>3</v>
      </c>
    </row>
    <row r="58" spans="2:17" x14ac:dyDescent="0.35">
      <c r="B58" s="8"/>
      <c r="C58" s="8"/>
      <c r="D58" s="8"/>
      <c r="Q58" s="20"/>
    </row>
    <row r="59" spans="2:17" x14ac:dyDescent="0.35">
      <c r="B59" s="16" t="s">
        <v>30</v>
      </c>
      <c r="C59" s="8"/>
      <c r="D59" s="8"/>
      <c r="Q59" s="21">
        <v>2</v>
      </c>
    </row>
    <row r="60" spans="2:17" x14ac:dyDescent="0.35">
      <c r="B60" s="8"/>
      <c r="C60" s="8"/>
      <c r="D60" s="8"/>
      <c r="Q60" s="20"/>
    </row>
    <row r="61" spans="2:17" x14ac:dyDescent="0.35">
      <c r="B61" s="16" t="s">
        <v>31</v>
      </c>
      <c r="C61" s="8"/>
      <c r="D61" s="8"/>
      <c r="Q61" s="21">
        <v>4</v>
      </c>
    </row>
    <row r="62" spans="2:17" x14ac:dyDescent="0.35">
      <c r="B62" s="8"/>
      <c r="C62" s="8"/>
      <c r="D62" s="8"/>
      <c r="Q62" s="20"/>
    </row>
    <row r="63" spans="2:17" x14ac:dyDescent="0.35">
      <c r="B63" s="16" t="s">
        <v>32</v>
      </c>
      <c r="C63" s="8"/>
      <c r="D63" s="8"/>
      <c r="Q63" s="21">
        <v>2</v>
      </c>
    </row>
    <row r="64" spans="2:17" x14ac:dyDescent="0.35">
      <c r="B64" s="8"/>
      <c r="C64" s="8"/>
      <c r="D64" s="8"/>
      <c r="Q64" s="20"/>
    </row>
    <row r="65" spans="2:17" x14ac:dyDescent="0.35">
      <c r="B65" s="16" t="s">
        <v>33</v>
      </c>
      <c r="C65" s="8"/>
      <c r="D65" s="8"/>
      <c r="Q65" s="21">
        <v>1</v>
      </c>
    </row>
    <row r="66" spans="2:17" x14ac:dyDescent="0.35">
      <c r="B66" s="8"/>
      <c r="C66" s="8"/>
      <c r="D66" s="8"/>
      <c r="Q66" s="20"/>
    </row>
    <row r="67" spans="2:17" x14ac:dyDescent="0.35">
      <c r="B67" s="16" t="s">
        <v>34</v>
      </c>
      <c r="C67" s="8"/>
      <c r="D67" s="8"/>
      <c r="Q67" s="21">
        <v>4</v>
      </c>
    </row>
    <row r="68" spans="2:17" x14ac:dyDescent="0.35">
      <c r="B68" s="8"/>
      <c r="C68" s="8"/>
      <c r="D68" s="8"/>
      <c r="Q68" s="20"/>
    </row>
    <row r="69" spans="2:17" x14ac:dyDescent="0.35">
      <c r="B69" s="16" t="s">
        <v>35</v>
      </c>
      <c r="C69" s="8"/>
      <c r="D69" s="8"/>
      <c r="Q69" s="21">
        <v>3</v>
      </c>
    </row>
    <row r="70" spans="2:17" x14ac:dyDescent="0.35">
      <c r="B70" s="8"/>
      <c r="C70" s="8"/>
      <c r="D70" s="8"/>
      <c r="Q70" s="20"/>
    </row>
    <row r="71" spans="2:17" x14ac:dyDescent="0.35">
      <c r="B71" s="16" t="s">
        <v>36</v>
      </c>
      <c r="C71" s="8"/>
      <c r="D71" s="8"/>
      <c r="Q71" s="21">
        <v>3</v>
      </c>
    </row>
    <row r="72" spans="2:17" x14ac:dyDescent="0.35">
      <c r="B72" s="8"/>
      <c r="C72" s="8"/>
      <c r="Q72" s="22"/>
    </row>
    <row r="73" spans="2:17" x14ac:dyDescent="0.35">
      <c r="B73" s="8"/>
      <c r="C73" s="8"/>
      <c r="Q73" s="8"/>
    </row>
    <row r="74" spans="2:17" x14ac:dyDescent="0.35">
      <c r="B74" s="10" t="s">
        <v>6</v>
      </c>
      <c r="C74" s="11"/>
      <c r="D74" s="12"/>
      <c r="E74" s="12"/>
      <c r="F74" s="10" t="s">
        <v>9</v>
      </c>
      <c r="G74" s="12"/>
      <c r="H74" s="12"/>
      <c r="I74" s="14"/>
      <c r="Q74" s="8"/>
    </row>
    <row r="75" spans="2:17" x14ac:dyDescent="0.35">
      <c r="B75" s="13" t="s">
        <v>7</v>
      </c>
      <c r="C75" s="11"/>
      <c r="D75" s="13"/>
      <c r="E75" s="13"/>
      <c r="F75" s="13" t="s">
        <v>10</v>
      </c>
      <c r="G75" s="13"/>
      <c r="H75" s="13"/>
      <c r="I75" s="15"/>
      <c r="Q75" s="8"/>
    </row>
    <row r="76" spans="2:17" x14ac:dyDescent="0.35">
      <c r="B76" s="13" t="s">
        <v>8</v>
      </c>
      <c r="C76" s="11"/>
      <c r="D76" s="13"/>
      <c r="E76" s="13"/>
      <c r="F76" s="13" t="s">
        <v>11</v>
      </c>
      <c r="G76" s="13"/>
      <c r="H76" s="13"/>
      <c r="I76" s="15"/>
      <c r="Q76" s="8"/>
    </row>
    <row r="77" spans="2:17" x14ac:dyDescent="0.35">
      <c r="Q77" s="8"/>
    </row>
    <row r="78" spans="2:17" x14ac:dyDescent="0.35">
      <c r="B78" s="19" t="s">
        <v>23</v>
      </c>
      <c r="Q78" s="18" t="s">
        <v>24</v>
      </c>
    </row>
    <row r="79" spans="2:17" x14ac:dyDescent="0.35">
      <c r="B79" s="8"/>
      <c r="C79" s="8"/>
      <c r="Q79" s="20"/>
    </row>
    <row r="80" spans="2:17" ht="15" customHeight="1" x14ac:dyDescent="0.35">
      <c r="B80" s="16" t="s">
        <v>37</v>
      </c>
      <c r="C80" s="8"/>
      <c r="Q80" s="21">
        <v>1</v>
      </c>
    </row>
    <row r="81" spans="2:17" x14ac:dyDescent="0.35">
      <c r="B81" s="8"/>
      <c r="C81" s="8"/>
      <c r="Q81" s="20"/>
    </row>
    <row r="82" spans="2:17" x14ac:dyDescent="0.35">
      <c r="B82" s="16" t="s">
        <v>38</v>
      </c>
      <c r="C82" s="8"/>
      <c r="Q82" s="21">
        <v>2</v>
      </c>
    </row>
    <row r="83" spans="2:17" x14ac:dyDescent="0.35">
      <c r="B83" s="8"/>
      <c r="C83" s="8"/>
      <c r="Q83" s="20"/>
    </row>
    <row r="84" spans="2:17" x14ac:dyDescent="0.35">
      <c r="B84" s="16" t="s">
        <v>39</v>
      </c>
      <c r="C84" s="8"/>
      <c r="Q84" s="21">
        <v>3</v>
      </c>
    </row>
    <row r="85" spans="2:17" x14ac:dyDescent="0.35">
      <c r="B85" s="8"/>
      <c r="C85" s="8"/>
      <c r="Q85" s="20"/>
    </row>
    <row r="86" spans="2:17" x14ac:dyDescent="0.35">
      <c r="B86" s="16" t="s">
        <v>40</v>
      </c>
      <c r="C86" s="8"/>
      <c r="Q86" s="21">
        <v>4</v>
      </c>
    </row>
    <row r="87" spans="2:17" x14ac:dyDescent="0.35">
      <c r="B87" s="8"/>
      <c r="C87" s="8"/>
      <c r="Q87" s="20"/>
    </row>
    <row r="88" spans="2:17" x14ac:dyDescent="0.35">
      <c r="B88" s="16" t="s">
        <v>41</v>
      </c>
      <c r="C88" s="8"/>
      <c r="Q88" s="21">
        <v>3</v>
      </c>
    </row>
    <row r="89" spans="2:17" x14ac:dyDescent="0.35">
      <c r="B89" s="8"/>
      <c r="C89" s="8"/>
      <c r="Q89" s="20"/>
    </row>
    <row r="90" spans="2:17" x14ac:dyDescent="0.35">
      <c r="B90" s="16" t="s">
        <v>42</v>
      </c>
      <c r="C90" s="8"/>
      <c r="Q90" s="21">
        <v>5</v>
      </c>
    </row>
    <row r="91" spans="2:17" x14ac:dyDescent="0.35">
      <c r="B91" s="8"/>
      <c r="C91" s="8"/>
      <c r="Q91" s="20"/>
    </row>
    <row r="92" spans="2:17" x14ac:dyDescent="0.35">
      <c r="B92" s="16" t="s">
        <v>43</v>
      </c>
      <c r="C92" s="8"/>
      <c r="Q92" s="21">
        <v>4</v>
      </c>
    </row>
    <row r="93" spans="2:17" x14ac:dyDescent="0.35">
      <c r="B93" s="8"/>
      <c r="C93" s="8"/>
      <c r="Q93" s="20"/>
    </row>
    <row r="94" spans="2:17" x14ac:dyDescent="0.35">
      <c r="B94" s="16" t="s">
        <v>44</v>
      </c>
      <c r="C94" s="8"/>
      <c r="Q94" s="21">
        <v>4</v>
      </c>
    </row>
    <row r="95" spans="2:17" x14ac:dyDescent="0.35">
      <c r="B95" s="8"/>
      <c r="C95" s="8"/>
      <c r="Q95" s="20"/>
    </row>
    <row r="96" spans="2:17" x14ac:dyDescent="0.35">
      <c r="B96" s="16" t="s">
        <v>45</v>
      </c>
      <c r="C96" s="8"/>
      <c r="Q96" s="21">
        <v>4</v>
      </c>
    </row>
    <row r="97" spans="2:17" x14ac:dyDescent="0.35">
      <c r="B97" s="8"/>
      <c r="C97" s="8"/>
      <c r="Q97" s="20"/>
    </row>
    <row r="98" spans="2:17" x14ac:dyDescent="0.35">
      <c r="B98" s="16" t="s">
        <v>46</v>
      </c>
      <c r="C98" s="8"/>
      <c r="Q98" s="21">
        <v>2</v>
      </c>
    </row>
    <row r="99" spans="2:17" x14ac:dyDescent="0.35">
      <c r="B99" s="8"/>
      <c r="C99" s="8"/>
      <c r="Q99" s="20"/>
    </row>
    <row r="100" spans="2:17" x14ac:dyDescent="0.35">
      <c r="B100" s="16" t="s">
        <v>47</v>
      </c>
      <c r="C100" s="8"/>
      <c r="Q100" s="21">
        <v>1</v>
      </c>
    </row>
    <row r="101" spans="2:17" x14ac:dyDescent="0.35">
      <c r="B101" s="8"/>
      <c r="C101" s="8"/>
      <c r="Q101" s="20"/>
    </row>
    <row r="102" spans="2:17" x14ac:dyDescent="0.35">
      <c r="B102" s="8"/>
      <c r="C102" s="8"/>
      <c r="Q102" s="8"/>
    </row>
    <row r="103" spans="2:17" x14ac:dyDescent="0.35">
      <c r="B103" s="10" t="s">
        <v>6</v>
      </c>
      <c r="C103" s="11"/>
      <c r="D103" s="12"/>
      <c r="E103" s="12"/>
      <c r="F103" s="10" t="s">
        <v>9</v>
      </c>
      <c r="G103" s="12"/>
      <c r="H103" s="12"/>
      <c r="I103" s="14"/>
      <c r="Q103" s="8"/>
    </row>
    <row r="104" spans="2:17" x14ac:dyDescent="0.35">
      <c r="B104" s="13" t="s">
        <v>7</v>
      </c>
      <c r="C104" s="11"/>
      <c r="D104" s="13"/>
      <c r="E104" s="13"/>
      <c r="F104" s="13" t="s">
        <v>10</v>
      </c>
      <c r="G104" s="13"/>
      <c r="H104" s="13"/>
      <c r="I104" s="15"/>
      <c r="Q104" s="8"/>
    </row>
    <row r="105" spans="2:17" x14ac:dyDescent="0.35">
      <c r="B105" s="13" t="s">
        <v>8</v>
      </c>
      <c r="C105" s="11"/>
      <c r="D105" s="13"/>
      <c r="E105" s="13"/>
      <c r="F105" s="13" t="s">
        <v>11</v>
      </c>
      <c r="G105" s="13"/>
      <c r="H105" s="13"/>
      <c r="I105" s="15"/>
      <c r="Q105" s="8"/>
    </row>
    <row r="106" spans="2:17" x14ac:dyDescent="0.35">
      <c r="Q106" s="8"/>
    </row>
    <row r="107" spans="2:17" x14ac:dyDescent="0.35">
      <c r="B107" s="19" t="s">
        <v>23</v>
      </c>
      <c r="Q107" s="18" t="s">
        <v>24</v>
      </c>
    </row>
    <row r="108" spans="2:17" x14ac:dyDescent="0.35">
      <c r="B108" s="8"/>
      <c r="C108" s="8"/>
      <c r="Q108" s="8"/>
    </row>
    <row r="109" spans="2:17" x14ac:dyDescent="0.35">
      <c r="B109" s="16" t="s">
        <v>48</v>
      </c>
      <c r="C109" s="8"/>
      <c r="Q109" s="21">
        <v>4</v>
      </c>
    </row>
    <row r="110" spans="2:17" x14ac:dyDescent="0.35">
      <c r="B110" s="8"/>
      <c r="C110" s="8"/>
      <c r="Q110" s="20"/>
    </row>
    <row r="111" spans="2:17" x14ac:dyDescent="0.35">
      <c r="B111" s="16" t="s">
        <v>49</v>
      </c>
      <c r="C111" s="8"/>
      <c r="Q111" s="21">
        <v>3</v>
      </c>
    </row>
    <row r="112" spans="2:17" x14ac:dyDescent="0.35">
      <c r="B112" s="8"/>
      <c r="C112" s="8"/>
      <c r="Q112" s="20"/>
    </row>
    <row r="113" spans="2:17" x14ac:dyDescent="0.35">
      <c r="B113" s="16" t="s">
        <v>50</v>
      </c>
      <c r="C113" s="8"/>
      <c r="Q113" s="21">
        <v>3</v>
      </c>
    </row>
    <row r="114" spans="2:17" x14ac:dyDescent="0.35">
      <c r="B114" s="8"/>
      <c r="C114" s="8"/>
      <c r="Q114" s="20"/>
    </row>
    <row r="115" spans="2:17" x14ac:dyDescent="0.35">
      <c r="B115" s="16" t="s">
        <v>51</v>
      </c>
      <c r="C115" s="8"/>
      <c r="Q115" s="21">
        <v>1</v>
      </c>
    </row>
    <row r="116" spans="2:17" x14ac:dyDescent="0.35">
      <c r="B116" s="8"/>
      <c r="C116" s="8"/>
      <c r="Q116" s="20"/>
    </row>
    <row r="117" spans="2:17" x14ac:dyDescent="0.35">
      <c r="B117" s="16" t="s">
        <v>52</v>
      </c>
      <c r="C117" s="8"/>
      <c r="Q117" s="21">
        <v>3</v>
      </c>
    </row>
    <row r="118" spans="2:17" x14ac:dyDescent="0.35">
      <c r="B118" s="8"/>
      <c r="C118" s="8"/>
      <c r="Q118" s="20"/>
    </row>
    <row r="119" spans="2:17" x14ac:dyDescent="0.35">
      <c r="B119" s="16" t="s">
        <v>53</v>
      </c>
      <c r="C119" s="8"/>
      <c r="Q119" s="21">
        <v>3</v>
      </c>
    </row>
    <row r="120" spans="2:17" x14ac:dyDescent="0.35">
      <c r="B120" s="8"/>
      <c r="C120" s="8"/>
      <c r="Q120" s="20"/>
    </row>
    <row r="121" spans="2:17" x14ac:dyDescent="0.35">
      <c r="B121" s="16" t="s">
        <v>54</v>
      </c>
      <c r="C121" s="8"/>
      <c r="Q121" s="21">
        <v>4</v>
      </c>
    </row>
    <row r="122" spans="2:17" x14ac:dyDescent="0.35">
      <c r="B122" s="8"/>
      <c r="C122" s="8"/>
      <c r="Q122" s="20"/>
    </row>
    <row r="123" spans="2:17" x14ac:dyDescent="0.35">
      <c r="B123" s="16" t="s">
        <v>55</v>
      </c>
      <c r="C123" s="8"/>
      <c r="Q123" s="21">
        <v>1</v>
      </c>
    </row>
    <row r="124" spans="2:17" x14ac:dyDescent="0.35">
      <c r="B124" s="8"/>
      <c r="C124" s="8"/>
      <c r="Q124" s="20"/>
    </row>
    <row r="125" spans="2:17" x14ac:dyDescent="0.35">
      <c r="B125" s="16" t="s">
        <v>56</v>
      </c>
      <c r="C125" s="8"/>
      <c r="Q125" s="21">
        <v>2</v>
      </c>
    </row>
    <row r="126" spans="2:17" x14ac:dyDescent="0.35">
      <c r="B126" s="8"/>
      <c r="C126" s="8"/>
      <c r="Q126" s="20"/>
    </row>
    <row r="127" spans="2:17" x14ac:dyDescent="0.35">
      <c r="B127" s="16" t="s">
        <v>57</v>
      </c>
      <c r="C127" s="8"/>
      <c r="Q127" s="21">
        <v>2</v>
      </c>
    </row>
    <row r="128" spans="2:17" x14ac:dyDescent="0.35">
      <c r="B128" s="8"/>
      <c r="C128" s="8"/>
      <c r="Q128" s="20"/>
    </row>
    <row r="129" spans="2:17" x14ac:dyDescent="0.35">
      <c r="B129" s="16" t="s">
        <v>58</v>
      </c>
      <c r="C129" s="8"/>
      <c r="Q129" s="21">
        <v>4</v>
      </c>
    </row>
    <row r="130" spans="2:17" x14ac:dyDescent="0.35">
      <c r="B130" s="8"/>
      <c r="C130" s="8"/>
      <c r="Q130" s="20"/>
    </row>
    <row r="131" spans="2:17" x14ac:dyDescent="0.35">
      <c r="B131" s="8"/>
      <c r="C131" s="8"/>
      <c r="Q131" s="8"/>
    </row>
    <row r="132" spans="2:17" x14ac:dyDescent="0.35">
      <c r="B132" s="10" t="s">
        <v>6</v>
      </c>
      <c r="C132" s="11"/>
      <c r="D132" s="12"/>
      <c r="E132" s="12"/>
      <c r="F132" s="10" t="s">
        <v>9</v>
      </c>
      <c r="G132" s="12"/>
      <c r="H132" s="12"/>
      <c r="I132" s="14"/>
      <c r="Q132" s="8"/>
    </row>
    <row r="133" spans="2:17" x14ac:dyDescent="0.35">
      <c r="B133" s="13" t="s">
        <v>7</v>
      </c>
      <c r="C133" s="11"/>
      <c r="D133" s="13"/>
      <c r="E133" s="13"/>
      <c r="F133" s="13" t="s">
        <v>10</v>
      </c>
      <c r="G133" s="13"/>
      <c r="H133" s="13"/>
      <c r="I133" s="15"/>
      <c r="Q133" s="8"/>
    </row>
    <row r="134" spans="2:17" x14ac:dyDescent="0.35">
      <c r="B134" s="13" t="s">
        <v>8</v>
      </c>
      <c r="C134" s="11"/>
      <c r="D134" s="13"/>
      <c r="E134" s="13"/>
      <c r="F134" s="13" t="s">
        <v>11</v>
      </c>
      <c r="G134" s="13"/>
      <c r="H134" s="13"/>
      <c r="I134" s="15"/>
      <c r="Q134" s="8"/>
    </row>
    <row r="135" spans="2:17" x14ac:dyDescent="0.35">
      <c r="Q135" s="8"/>
    </row>
    <row r="136" spans="2:17" x14ac:dyDescent="0.35">
      <c r="B136" s="19" t="s">
        <v>23</v>
      </c>
      <c r="Q136" s="18" t="s">
        <v>24</v>
      </c>
    </row>
    <row r="137" spans="2:17" x14ac:dyDescent="0.35">
      <c r="B137" s="8"/>
      <c r="C137" s="8"/>
      <c r="Q137" s="20"/>
    </row>
    <row r="138" spans="2:17" x14ac:dyDescent="0.35">
      <c r="B138" s="16" t="s">
        <v>59</v>
      </c>
      <c r="C138" s="8"/>
      <c r="Q138" s="21">
        <v>4</v>
      </c>
    </row>
    <row r="139" spans="2:17" x14ac:dyDescent="0.35">
      <c r="B139" s="8"/>
      <c r="C139" s="8"/>
      <c r="Q139" s="20"/>
    </row>
    <row r="140" spans="2:17" x14ac:dyDescent="0.35">
      <c r="B140" s="16" t="s">
        <v>60</v>
      </c>
      <c r="C140" s="8"/>
      <c r="Q140" s="21">
        <v>2</v>
      </c>
    </row>
    <row r="141" spans="2:17" x14ac:dyDescent="0.35">
      <c r="B141" s="8"/>
      <c r="C141" s="8"/>
      <c r="Q141" s="20"/>
    </row>
    <row r="142" spans="2:17" x14ac:dyDescent="0.35">
      <c r="B142" s="16" t="s">
        <v>61</v>
      </c>
      <c r="C142" s="8"/>
      <c r="Q142" s="21">
        <v>3</v>
      </c>
    </row>
    <row r="143" spans="2:17" x14ac:dyDescent="0.35">
      <c r="B143" s="8"/>
      <c r="C143" s="8"/>
      <c r="Q143" s="20"/>
    </row>
    <row r="144" spans="2:17" x14ac:dyDescent="0.35">
      <c r="B144" s="16" t="s">
        <v>62</v>
      </c>
      <c r="C144" s="8"/>
      <c r="Q144" s="21">
        <v>3</v>
      </c>
    </row>
    <row r="145" spans="2:17" x14ac:dyDescent="0.35">
      <c r="B145" s="8"/>
      <c r="C145" s="8"/>
      <c r="Q145" s="20"/>
    </row>
    <row r="146" spans="2:17" x14ac:dyDescent="0.35">
      <c r="B146" s="16" t="s">
        <v>63</v>
      </c>
      <c r="C146" s="8"/>
      <c r="Q146" s="21">
        <v>5</v>
      </c>
    </row>
    <row r="147" spans="2:17" x14ac:dyDescent="0.35">
      <c r="B147" s="8"/>
      <c r="C147" s="8"/>
      <c r="Q147" s="20"/>
    </row>
    <row r="148" spans="2:17" x14ac:dyDescent="0.35">
      <c r="B148" s="16" t="s">
        <v>64</v>
      </c>
      <c r="C148" s="8"/>
      <c r="Q148" s="21">
        <v>4</v>
      </c>
    </row>
    <row r="149" spans="2:17" x14ac:dyDescent="0.35">
      <c r="B149" s="8"/>
      <c r="C149" s="8"/>
      <c r="Q149" s="20"/>
    </row>
    <row r="150" spans="2:17" x14ac:dyDescent="0.35">
      <c r="B150" s="16" t="s">
        <v>65</v>
      </c>
      <c r="C150" s="8"/>
      <c r="Q150" s="21">
        <v>4</v>
      </c>
    </row>
    <row r="151" spans="2:17" x14ac:dyDescent="0.35">
      <c r="B151" s="8"/>
      <c r="C151" s="8"/>
      <c r="Q151" s="20"/>
    </row>
    <row r="152" spans="2:17" x14ac:dyDescent="0.35">
      <c r="B152" s="16" t="s">
        <v>66</v>
      </c>
      <c r="C152" s="8"/>
      <c r="Q152" s="21">
        <v>2</v>
      </c>
    </row>
    <row r="153" spans="2:17" x14ac:dyDescent="0.35">
      <c r="B153" s="8"/>
      <c r="C153" s="8"/>
      <c r="Q153" s="20"/>
    </row>
    <row r="154" spans="2:17" x14ac:dyDescent="0.35">
      <c r="B154" s="16" t="s">
        <v>67</v>
      </c>
      <c r="C154" s="8"/>
      <c r="Q154" s="21">
        <v>4</v>
      </c>
    </row>
    <row r="155" spans="2:17" x14ac:dyDescent="0.35">
      <c r="B155" s="8"/>
      <c r="C155" s="8"/>
      <c r="Q155" s="20"/>
    </row>
    <row r="156" spans="2:17" x14ac:dyDescent="0.35">
      <c r="B156" s="16" t="s">
        <v>68</v>
      </c>
      <c r="C156" s="8"/>
      <c r="Q156" s="21">
        <v>4</v>
      </c>
    </row>
    <row r="157" spans="2:17" x14ac:dyDescent="0.35">
      <c r="B157" s="8"/>
      <c r="C157" s="8"/>
      <c r="Q157" s="20"/>
    </row>
    <row r="158" spans="2:17" x14ac:dyDescent="0.35">
      <c r="B158" s="16" t="s">
        <v>69</v>
      </c>
      <c r="C158" s="8"/>
      <c r="Q158" s="21">
        <v>3</v>
      </c>
    </row>
    <row r="159" spans="2:17" x14ac:dyDescent="0.35">
      <c r="B159" s="8"/>
      <c r="C159" s="8"/>
      <c r="Q159" s="20"/>
    </row>
    <row r="160" spans="2:17" x14ac:dyDescent="0.35">
      <c r="B160" s="8"/>
      <c r="C160" s="8"/>
      <c r="Q160" s="20"/>
    </row>
    <row r="161" spans="2:17" x14ac:dyDescent="0.35">
      <c r="B161" s="10" t="s">
        <v>6</v>
      </c>
      <c r="C161" s="11"/>
      <c r="D161" s="12"/>
      <c r="E161" s="12"/>
      <c r="F161" s="10" t="s">
        <v>9</v>
      </c>
      <c r="G161" s="12"/>
      <c r="H161" s="12"/>
      <c r="I161" s="14"/>
      <c r="Q161" s="8"/>
    </row>
    <row r="162" spans="2:17" x14ac:dyDescent="0.35">
      <c r="B162" s="13" t="s">
        <v>7</v>
      </c>
      <c r="C162" s="11"/>
      <c r="D162" s="13"/>
      <c r="E162" s="13"/>
      <c r="F162" s="13" t="s">
        <v>10</v>
      </c>
      <c r="G162" s="13"/>
      <c r="H162" s="13"/>
      <c r="I162" s="15"/>
      <c r="Q162" s="8"/>
    </row>
    <row r="163" spans="2:17" x14ac:dyDescent="0.35">
      <c r="B163" s="13" t="s">
        <v>8</v>
      </c>
      <c r="C163" s="11"/>
      <c r="D163" s="13"/>
      <c r="E163" s="13"/>
      <c r="F163" s="13" t="s">
        <v>11</v>
      </c>
      <c r="G163" s="13"/>
      <c r="H163" s="13"/>
      <c r="I163" s="15"/>
      <c r="Q163" s="8"/>
    </row>
    <row r="164" spans="2:17" x14ac:dyDescent="0.35">
      <c r="Q164" s="8"/>
    </row>
    <row r="165" spans="2:17" x14ac:dyDescent="0.35">
      <c r="B165" s="19" t="s">
        <v>23</v>
      </c>
      <c r="Q165" s="18" t="s">
        <v>24</v>
      </c>
    </row>
    <row r="166" spans="2:17" x14ac:dyDescent="0.35">
      <c r="B166" s="8"/>
      <c r="C166" s="8"/>
      <c r="Q166" s="20"/>
    </row>
    <row r="167" spans="2:17" x14ac:dyDescent="0.35">
      <c r="B167" s="16" t="s">
        <v>70</v>
      </c>
      <c r="C167" s="8"/>
      <c r="Q167" s="21">
        <v>4</v>
      </c>
    </row>
    <row r="168" spans="2:17" x14ac:dyDescent="0.35">
      <c r="B168" s="8"/>
      <c r="C168" s="8"/>
      <c r="Q168" s="20"/>
    </row>
    <row r="169" spans="2:17" x14ac:dyDescent="0.35">
      <c r="B169" s="16" t="s">
        <v>71</v>
      </c>
      <c r="C169" s="8"/>
      <c r="Q169" s="21">
        <v>5</v>
      </c>
    </row>
    <row r="170" spans="2:17" x14ac:dyDescent="0.35">
      <c r="B170" s="8"/>
      <c r="C170" s="8"/>
      <c r="Q170" s="20"/>
    </row>
    <row r="171" spans="2:17" x14ac:dyDescent="0.35">
      <c r="B171" s="16" t="s">
        <v>72</v>
      </c>
      <c r="C171" s="8"/>
      <c r="Q171" s="21">
        <v>2</v>
      </c>
    </row>
    <row r="172" spans="2:17" x14ac:dyDescent="0.35">
      <c r="B172" s="8"/>
      <c r="C172" s="8"/>
      <c r="Q172" s="20"/>
    </row>
    <row r="173" spans="2:17" x14ac:dyDescent="0.35">
      <c r="B173" s="16" t="s">
        <v>73</v>
      </c>
      <c r="C173" s="8"/>
      <c r="Q173" s="21">
        <v>2</v>
      </c>
    </row>
    <row r="174" spans="2:17" x14ac:dyDescent="0.35">
      <c r="B174" s="8"/>
      <c r="C174" s="8"/>
      <c r="Q174" s="20"/>
    </row>
    <row r="175" spans="2:17" x14ac:dyDescent="0.35">
      <c r="B175" s="16" t="s">
        <v>74</v>
      </c>
      <c r="C175" s="8"/>
      <c r="Q175" s="21">
        <v>2</v>
      </c>
    </row>
    <row r="176" spans="2:17" x14ac:dyDescent="0.35">
      <c r="B176" s="8"/>
      <c r="C176" s="8"/>
      <c r="Q176" s="20"/>
    </row>
    <row r="177" spans="2:17" x14ac:dyDescent="0.35">
      <c r="B177" s="16" t="s">
        <v>75</v>
      </c>
      <c r="C177" s="8"/>
      <c r="Q177" s="21">
        <v>2</v>
      </c>
    </row>
    <row r="178" spans="2:17" x14ac:dyDescent="0.35">
      <c r="B178" s="8"/>
      <c r="C178" s="8"/>
      <c r="Q178" s="20"/>
    </row>
    <row r="179" spans="2:17" x14ac:dyDescent="0.35">
      <c r="B179" s="16" t="s">
        <v>76</v>
      </c>
      <c r="C179" s="8"/>
      <c r="Q179" s="21">
        <v>4</v>
      </c>
    </row>
    <row r="180" spans="2:17" x14ac:dyDescent="0.35">
      <c r="B180" s="8"/>
      <c r="C180" s="8"/>
      <c r="Q180" s="20"/>
    </row>
    <row r="181" spans="2:17" x14ac:dyDescent="0.35">
      <c r="B181" s="16" t="s">
        <v>77</v>
      </c>
      <c r="C181" s="8"/>
      <c r="Q181" s="21">
        <v>3</v>
      </c>
    </row>
    <row r="182" spans="2:17" x14ac:dyDescent="0.35">
      <c r="B182" s="8"/>
      <c r="C182" s="8"/>
      <c r="Q182" s="20"/>
    </row>
    <row r="183" spans="2:17" x14ac:dyDescent="0.35">
      <c r="B183" s="16" t="s">
        <v>78</v>
      </c>
      <c r="C183" s="8"/>
      <c r="Q183" s="21">
        <v>1</v>
      </c>
    </row>
    <row r="184" spans="2:17" x14ac:dyDescent="0.35">
      <c r="B184" s="8"/>
      <c r="C184" s="8"/>
      <c r="Q184" s="20"/>
    </row>
    <row r="185" spans="2:17" x14ac:dyDescent="0.35">
      <c r="B185" s="16" t="s">
        <v>79</v>
      </c>
      <c r="C185" s="8"/>
      <c r="Q185" s="21">
        <v>4</v>
      </c>
    </row>
    <row r="186" spans="2:17" x14ac:dyDescent="0.35">
      <c r="B186" s="8"/>
      <c r="C186" s="8"/>
      <c r="Q186" s="20"/>
    </row>
    <row r="187" spans="2:17" x14ac:dyDescent="0.35">
      <c r="B187" s="16" t="s">
        <v>80</v>
      </c>
      <c r="C187" s="8"/>
      <c r="Q187" s="21">
        <v>3</v>
      </c>
    </row>
    <row r="188" spans="2:17" x14ac:dyDescent="0.35">
      <c r="B188" s="8"/>
      <c r="C188" s="8"/>
      <c r="Q188" s="20"/>
    </row>
    <row r="189" spans="2:17" x14ac:dyDescent="0.35">
      <c r="B189" s="8"/>
      <c r="C189" s="8"/>
      <c r="Q189" s="8"/>
    </row>
    <row r="190" spans="2:17" x14ac:dyDescent="0.35">
      <c r="B190" s="10" t="s">
        <v>6</v>
      </c>
      <c r="C190" s="11"/>
      <c r="D190" s="12"/>
      <c r="E190" s="12"/>
      <c r="F190" s="10" t="s">
        <v>9</v>
      </c>
      <c r="G190" s="12"/>
      <c r="H190" s="12"/>
      <c r="I190" s="14"/>
      <c r="Q190" s="8"/>
    </row>
    <row r="191" spans="2:17" x14ac:dyDescent="0.35">
      <c r="B191" s="13" t="s">
        <v>7</v>
      </c>
      <c r="C191" s="11"/>
      <c r="D191" s="13"/>
      <c r="E191" s="13"/>
      <c r="F191" s="13" t="s">
        <v>10</v>
      </c>
      <c r="G191" s="13"/>
      <c r="H191" s="13"/>
      <c r="I191" s="15"/>
      <c r="Q191" s="8"/>
    </row>
    <row r="192" spans="2:17" x14ac:dyDescent="0.35">
      <c r="B192" s="13" t="s">
        <v>8</v>
      </c>
      <c r="C192" s="11"/>
      <c r="D192" s="13"/>
      <c r="E192" s="13"/>
      <c r="F192" s="13" t="s">
        <v>11</v>
      </c>
      <c r="G192" s="13"/>
      <c r="H192" s="13"/>
      <c r="I192" s="15"/>
      <c r="Q192" s="8"/>
    </row>
    <row r="193" spans="2:17" x14ac:dyDescent="0.35">
      <c r="Q193" s="8"/>
    </row>
    <row r="194" spans="2:17" x14ac:dyDescent="0.35">
      <c r="B194" s="19" t="s">
        <v>23</v>
      </c>
      <c r="Q194" s="18" t="s">
        <v>24</v>
      </c>
    </row>
    <row r="195" spans="2:17" x14ac:dyDescent="0.35">
      <c r="B195" s="8"/>
      <c r="C195" s="8"/>
      <c r="Q195" s="20"/>
    </row>
    <row r="196" spans="2:17" x14ac:dyDescent="0.35">
      <c r="B196" s="16" t="s">
        <v>81</v>
      </c>
      <c r="C196" s="8"/>
      <c r="Q196" s="21">
        <v>4</v>
      </c>
    </row>
    <row r="197" spans="2:17" x14ac:dyDescent="0.35">
      <c r="B197" s="8"/>
      <c r="C197" s="8"/>
      <c r="Q197" s="20"/>
    </row>
    <row r="198" spans="2:17" x14ac:dyDescent="0.35">
      <c r="B198" s="16" t="s">
        <v>82</v>
      </c>
      <c r="C198" s="8"/>
      <c r="Q198" s="21">
        <v>2</v>
      </c>
    </row>
    <row r="199" spans="2:17" x14ac:dyDescent="0.35">
      <c r="B199" s="8"/>
      <c r="C199" s="8"/>
      <c r="Q199" s="20"/>
    </row>
    <row r="200" spans="2:17" x14ac:dyDescent="0.35">
      <c r="B200" s="16" t="s">
        <v>83</v>
      </c>
      <c r="C200" s="8"/>
      <c r="Q200" s="21">
        <v>4</v>
      </c>
    </row>
    <row r="201" spans="2:17" x14ac:dyDescent="0.35">
      <c r="B201" s="8"/>
      <c r="C201" s="8"/>
      <c r="Q201" s="20"/>
    </row>
    <row r="202" spans="2:17" x14ac:dyDescent="0.35">
      <c r="B202" s="16" t="s">
        <v>84</v>
      </c>
      <c r="C202" s="8"/>
      <c r="Q202" s="21">
        <v>3</v>
      </c>
    </row>
    <row r="203" spans="2:17" x14ac:dyDescent="0.35">
      <c r="B203" s="8"/>
      <c r="C203" s="8"/>
      <c r="Q203" s="20"/>
    </row>
    <row r="204" spans="2:17" x14ac:dyDescent="0.35">
      <c r="B204" s="16" t="s">
        <v>85</v>
      </c>
      <c r="C204" s="8"/>
      <c r="Q204" s="21">
        <v>5</v>
      </c>
    </row>
    <row r="205" spans="2:17" x14ac:dyDescent="0.35">
      <c r="B205" s="8"/>
      <c r="C205" s="8"/>
      <c r="Q205" s="20"/>
    </row>
    <row r="206" spans="2:17" x14ac:dyDescent="0.35">
      <c r="B206" s="16" t="s">
        <v>86</v>
      </c>
      <c r="C206" s="8"/>
      <c r="Q206" s="21">
        <v>4</v>
      </c>
    </row>
    <row r="207" spans="2:17" x14ac:dyDescent="0.35">
      <c r="B207" s="8"/>
      <c r="C207" s="8"/>
      <c r="Q207" s="20"/>
    </row>
    <row r="208" spans="2:17" x14ac:dyDescent="0.35">
      <c r="B208" s="16" t="s">
        <v>87</v>
      </c>
      <c r="C208" s="8"/>
      <c r="Q208" s="21">
        <v>4</v>
      </c>
    </row>
    <row r="209" spans="2:17" x14ac:dyDescent="0.35">
      <c r="B209" s="8"/>
      <c r="C209" s="8"/>
      <c r="Q209" s="20"/>
    </row>
    <row r="210" spans="2:17" x14ac:dyDescent="0.35">
      <c r="B210" s="16" t="s">
        <v>88</v>
      </c>
      <c r="C210" s="8"/>
      <c r="Q210" s="21">
        <v>4</v>
      </c>
    </row>
    <row r="211" spans="2:17" x14ac:dyDescent="0.35">
      <c r="B211" s="8"/>
      <c r="C211" s="8"/>
      <c r="Q211" s="20"/>
    </row>
    <row r="212" spans="2:17" x14ac:dyDescent="0.35">
      <c r="B212" s="16" t="s">
        <v>89</v>
      </c>
      <c r="C212" s="8"/>
      <c r="Q212" s="21">
        <v>5</v>
      </c>
    </row>
    <row r="213" spans="2:17" x14ac:dyDescent="0.35">
      <c r="B213" s="8"/>
      <c r="C213" s="8"/>
      <c r="Q213" s="20"/>
    </row>
    <row r="214" spans="2:17" x14ac:dyDescent="0.35">
      <c r="B214" s="16" t="s">
        <v>90</v>
      </c>
      <c r="C214" s="8"/>
      <c r="Q214" s="21">
        <v>3</v>
      </c>
    </row>
    <row r="215" spans="2:17" x14ac:dyDescent="0.35">
      <c r="B215" s="8"/>
      <c r="C215" s="8"/>
      <c r="Q215" s="20"/>
    </row>
    <row r="216" spans="2:17" x14ac:dyDescent="0.35">
      <c r="B216" s="16" t="s">
        <v>91</v>
      </c>
      <c r="C216" s="8"/>
      <c r="Q216" s="21">
        <v>3</v>
      </c>
    </row>
    <row r="217" spans="2:17" x14ac:dyDescent="0.35">
      <c r="B217" s="8"/>
      <c r="C217" s="8"/>
      <c r="Q217" s="8"/>
    </row>
    <row r="218" spans="2:17" x14ac:dyDescent="0.35">
      <c r="B218" s="8"/>
      <c r="C218" s="8"/>
      <c r="Q218" s="8"/>
    </row>
    <row r="219" spans="2:17" x14ac:dyDescent="0.35">
      <c r="B219" s="10" t="s">
        <v>6</v>
      </c>
      <c r="C219" s="11"/>
      <c r="D219" s="12"/>
      <c r="E219" s="12"/>
      <c r="F219" s="10" t="s">
        <v>9</v>
      </c>
      <c r="G219" s="12"/>
      <c r="H219" s="12"/>
      <c r="I219" s="14"/>
      <c r="Q219" s="8"/>
    </row>
    <row r="220" spans="2:17" x14ac:dyDescent="0.35">
      <c r="B220" s="13" t="s">
        <v>7</v>
      </c>
      <c r="C220" s="11"/>
      <c r="D220" s="13"/>
      <c r="E220" s="13"/>
      <c r="F220" s="13" t="s">
        <v>10</v>
      </c>
      <c r="G220" s="13"/>
      <c r="H220" s="13"/>
      <c r="I220" s="15"/>
      <c r="Q220" s="8"/>
    </row>
    <row r="221" spans="2:17" x14ac:dyDescent="0.35">
      <c r="B221" s="13" t="s">
        <v>8</v>
      </c>
      <c r="C221" s="11"/>
      <c r="D221" s="13"/>
      <c r="E221" s="13"/>
      <c r="F221" s="13" t="s">
        <v>11</v>
      </c>
      <c r="G221" s="13"/>
      <c r="H221" s="13"/>
      <c r="I221" s="15"/>
      <c r="Q221" s="8"/>
    </row>
    <row r="222" spans="2:17" x14ac:dyDescent="0.35">
      <c r="Q222" s="8"/>
    </row>
    <row r="223" spans="2:17" x14ac:dyDescent="0.35">
      <c r="B223" s="19" t="s">
        <v>23</v>
      </c>
      <c r="Q223" s="18" t="s">
        <v>24</v>
      </c>
    </row>
    <row r="224" spans="2:17" x14ac:dyDescent="0.35">
      <c r="B224" s="8"/>
      <c r="C224" s="8"/>
      <c r="Q224" s="20"/>
    </row>
    <row r="225" spans="2:17" x14ac:dyDescent="0.35">
      <c r="B225" s="16" t="s">
        <v>92</v>
      </c>
      <c r="C225" s="8"/>
      <c r="Q225" s="21">
        <v>2</v>
      </c>
    </row>
    <row r="226" spans="2:17" x14ac:dyDescent="0.35">
      <c r="B226" s="8"/>
      <c r="C226" s="8"/>
      <c r="Q226" s="20"/>
    </row>
    <row r="227" spans="2:17" x14ac:dyDescent="0.35">
      <c r="B227" s="16" t="s">
        <v>93</v>
      </c>
      <c r="C227" s="8"/>
      <c r="Q227" s="21">
        <v>3</v>
      </c>
    </row>
    <row r="228" spans="2:17" x14ac:dyDescent="0.35">
      <c r="B228" s="8"/>
      <c r="C228" s="8"/>
      <c r="Q228" s="20"/>
    </row>
    <row r="229" spans="2:17" x14ac:dyDescent="0.35">
      <c r="B229" s="16" t="s">
        <v>94</v>
      </c>
      <c r="C229" s="8"/>
      <c r="Q229" s="21">
        <v>3</v>
      </c>
    </row>
    <row r="230" spans="2:17" x14ac:dyDescent="0.35">
      <c r="B230" s="8"/>
      <c r="C230" s="8"/>
      <c r="Q230" s="20"/>
    </row>
    <row r="231" spans="2:17" x14ac:dyDescent="0.35">
      <c r="B231" s="16" t="s">
        <v>95</v>
      </c>
      <c r="C231" s="8"/>
      <c r="Q231" s="21">
        <v>3</v>
      </c>
    </row>
    <row r="232" spans="2:17" x14ac:dyDescent="0.35">
      <c r="B232" s="8"/>
      <c r="C232" s="8"/>
      <c r="Q232" s="20"/>
    </row>
    <row r="233" spans="2:17" x14ac:dyDescent="0.35">
      <c r="B233" s="16" t="s">
        <v>96</v>
      </c>
      <c r="C233" s="8"/>
      <c r="Q233" s="21">
        <v>4</v>
      </c>
    </row>
    <row r="234" spans="2:17" x14ac:dyDescent="0.35">
      <c r="B234" s="8"/>
      <c r="C234" s="8"/>
      <c r="Q234" s="20"/>
    </row>
    <row r="235" spans="2:17" x14ac:dyDescent="0.35">
      <c r="B235" s="16" t="s">
        <v>97</v>
      </c>
      <c r="C235" s="8"/>
      <c r="Q235" s="21">
        <v>6</v>
      </c>
    </row>
    <row r="236" spans="2:17" x14ac:dyDescent="0.35">
      <c r="B236" s="8"/>
      <c r="C236" s="8"/>
      <c r="Q236" s="20"/>
    </row>
    <row r="237" spans="2:17" x14ac:dyDescent="0.35">
      <c r="B237" s="16" t="s">
        <v>98</v>
      </c>
      <c r="C237" s="8"/>
      <c r="Q237" s="21">
        <v>4</v>
      </c>
    </row>
    <row r="238" spans="2:17" x14ac:dyDescent="0.35">
      <c r="B238" s="8"/>
      <c r="C238" s="8"/>
      <c r="Q238" s="20"/>
    </row>
    <row r="239" spans="2:17" x14ac:dyDescent="0.35">
      <c r="B239" s="16" t="s">
        <v>99</v>
      </c>
      <c r="C239" s="8"/>
      <c r="Q239" s="21">
        <v>4</v>
      </c>
    </row>
    <row r="240" spans="2:17" x14ac:dyDescent="0.35">
      <c r="B240" s="8"/>
      <c r="C240" s="8"/>
      <c r="Q240" s="20"/>
    </row>
    <row r="241" spans="2:17" x14ac:dyDescent="0.35">
      <c r="B241" s="16" t="s">
        <v>100</v>
      </c>
      <c r="C241" s="8"/>
      <c r="Q241" s="21">
        <v>3</v>
      </c>
    </row>
    <row r="242" spans="2:17" x14ac:dyDescent="0.35">
      <c r="B242" s="8"/>
      <c r="C242" s="8"/>
      <c r="Q242" s="20"/>
    </row>
    <row r="243" spans="2:17" x14ac:dyDescent="0.35">
      <c r="B243" s="16" t="s">
        <v>101</v>
      </c>
      <c r="C243" s="8"/>
      <c r="Q243" s="21">
        <v>4</v>
      </c>
    </row>
    <row r="244" spans="2:17" x14ac:dyDescent="0.35">
      <c r="B244" s="8"/>
      <c r="C244" s="8"/>
      <c r="Q244" s="20"/>
    </row>
    <row r="245" spans="2:17" x14ac:dyDescent="0.35">
      <c r="B245" s="16" t="s">
        <v>102</v>
      </c>
      <c r="C245" s="8"/>
      <c r="Q245" s="21">
        <v>3</v>
      </c>
    </row>
    <row r="246" spans="2:17" x14ac:dyDescent="0.35">
      <c r="B246" s="8"/>
      <c r="C246" s="8"/>
      <c r="Q246" s="20"/>
    </row>
    <row r="247" spans="2:17" x14ac:dyDescent="0.35">
      <c r="B247" s="16" t="s">
        <v>103</v>
      </c>
      <c r="C247" s="8"/>
      <c r="Q247" s="21">
        <v>3</v>
      </c>
    </row>
    <row r="248" spans="2:17" x14ac:dyDescent="0.35">
      <c r="B248" s="8"/>
      <c r="C248" s="8"/>
      <c r="Q248" s="20"/>
    </row>
    <row r="249" spans="2:17" x14ac:dyDescent="0.35">
      <c r="B249" s="16" t="s">
        <v>104</v>
      </c>
      <c r="C249" s="8"/>
      <c r="Q249" s="21">
        <v>1</v>
      </c>
    </row>
    <row r="250" spans="2:17" x14ac:dyDescent="0.35">
      <c r="B250" s="8"/>
      <c r="C250" s="8"/>
      <c r="Q250" s="20"/>
    </row>
    <row r="251" spans="2:17" x14ac:dyDescent="0.35">
      <c r="B251" s="8"/>
      <c r="C251" s="8"/>
      <c r="Q251" s="8"/>
    </row>
    <row r="252" spans="2:17" ht="18" customHeight="1" x14ac:dyDescent="0.5">
      <c r="G252" s="41" t="s">
        <v>105</v>
      </c>
      <c r="H252" s="50"/>
      <c r="I252" s="50"/>
      <c r="J252" s="50"/>
      <c r="K252" s="50"/>
      <c r="L252" s="50"/>
      <c r="Q252" s="8"/>
    </row>
    <row r="254" spans="2:17" x14ac:dyDescent="0.35">
      <c r="G254" s="42" t="s">
        <v>106</v>
      </c>
      <c r="H254" s="50"/>
      <c r="I254" s="50"/>
      <c r="J254" s="50"/>
      <c r="K254" s="50"/>
      <c r="L254" s="50"/>
    </row>
  </sheetData>
  <mergeCells count="9">
    <mergeCell ref="B14:H14"/>
    <mergeCell ref="G252:L252"/>
    <mergeCell ref="G254:L254"/>
    <mergeCell ref="E2:H2"/>
    <mergeCell ref="M2:P2"/>
    <mergeCell ref="E4:H4"/>
    <mergeCell ref="E6:H6"/>
    <mergeCell ref="E8:H8"/>
    <mergeCell ref="B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21"/>
  <sheetViews>
    <sheetView tabSelected="1" topLeftCell="A21" zoomScale="113" zoomScaleNormal="70" workbookViewId="0">
      <selection activeCell="C33" sqref="C33"/>
    </sheetView>
  </sheetViews>
  <sheetFormatPr defaultRowHeight="14.5" x14ac:dyDescent="0.35"/>
  <cols>
    <col min="2" max="2" width="33.7265625" customWidth="1"/>
    <col min="3" max="3" width="8.81640625" customWidth="1"/>
    <col min="4" max="4" width="16.1796875" customWidth="1"/>
    <col min="5" max="5" width="9.453125" customWidth="1"/>
    <col min="6" max="6" width="17.54296875" customWidth="1"/>
    <col min="7" max="7" width="26.26953125" customWidth="1"/>
    <col min="8" max="8" width="26.7265625" customWidth="1"/>
    <col min="9" max="9" width="27.81640625" customWidth="1"/>
    <col min="10" max="10" width="25.453125" customWidth="1"/>
    <col min="11" max="11" width="16.453125" customWidth="1"/>
    <col min="12" max="12" width="18.54296875" customWidth="1"/>
    <col min="13" max="13" width="12" customWidth="1"/>
    <col min="14" max="14" width="17.26953125" customWidth="1"/>
    <col min="15" max="15" width="25.7265625" customWidth="1"/>
  </cols>
  <sheetData>
    <row r="2" spans="2:8" x14ac:dyDescent="0.35">
      <c r="B2" s="11" t="s">
        <v>0</v>
      </c>
      <c r="C2" s="47">
        <f>Опросник!E2</f>
        <v>0</v>
      </c>
      <c r="D2" s="47"/>
      <c r="E2" s="47"/>
      <c r="G2" s="11" t="s">
        <v>157</v>
      </c>
      <c r="H2" s="17">
        <f>Опросник!M2</f>
        <v>0</v>
      </c>
    </row>
    <row r="4" spans="2:8" x14ac:dyDescent="0.35">
      <c r="B4" s="11" t="s">
        <v>3</v>
      </c>
      <c r="C4" s="48">
        <f>Опросник!E8</f>
        <v>0</v>
      </c>
      <c r="D4" s="47"/>
      <c r="E4" s="47"/>
    </row>
    <row r="6" spans="2:8" x14ac:dyDescent="0.35">
      <c r="B6" s="23" t="s">
        <v>107</v>
      </c>
      <c r="C6" s="23" t="s">
        <v>24</v>
      </c>
      <c r="D6" s="23" t="s">
        <v>108</v>
      </c>
      <c r="E6" s="24">
        <v>5</v>
      </c>
      <c r="F6" s="24">
        <v>6</v>
      </c>
      <c r="G6" s="23" t="s">
        <v>127</v>
      </c>
    </row>
    <row r="7" spans="2:8" x14ac:dyDescent="0.35">
      <c r="B7" s="30">
        <v>1</v>
      </c>
      <c r="C7" s="31">
        <f>Опросник!Q22</f>
        <v>4</v>
      </c>
      <c r="D7" s="32" t="s">
        <v>109</v>
      </c>
      <c r="E7" s="33">
        <f>IF(C7=5,1,0)</f>
        <v>0</v>
      </c>
      <c r="F7" s="33">
        <f>IF(C7=6,1,0)</f>
        <v>0</v>
      </c>
      <c r="G7" s="34">
        <f>E7+F7</f>
        <v>0</v>
      </c>
    </row>
    <row r="8" spans="2:8" x14ac:dyDescent="0.35">
      <c r="B8" s="30">
        <v>2</v>
      </c>
      <c r="C8" s="31">
        <f>Опросник!Q24</f>
        <v>4</v>
      </c>
      <c r="D8" s="32" t="s">
        <v>110</v>
      </c>
      <c r="E8" s="33">
        <f t="shared" ref="E8:E71" si="0">IF(C8=5,1,0)</f>
        <v>0</v>
      </c>
      <c r="F8" s="33">
        <f t="shared" ref="F8:F71" si="1">IF(C8=6,1,0)</f>
        <v>0</v>
      </c>
      <c r="G8" s="34">
        <f t="shared" ref="G8:G71" si="2">E8+F8</f>
        <v>0</v>
      </c>
    </row>
    <row r="9" spans="2:8" x14ac:dyDescent="0.35">
      <c r="B9" s="30">
        <v>3</v>
      </c>
      <c r="C9" s="31">
        <f>Опросник!Q26</f>
        <v>4</v>
      </c>
      <c r="D9" s="32" t="s">
        <v>111</v>
      </c>
      <c r="E9" s="33">
        <f t="shared" si="0"/>
        <v>0</v>
      </c>
      <c r="F9" s="33">
        <f t="shared" si="1"/>
        <v>0</v>
      </c>
      <c r="G9" s="34">
        <f t="shared" si="2"/>
        <v>0</v>
      </c>
    </row>
    <row r="10" spans="2:8" x14ac:dyDescent="0.35">
      <c r="B10" s="30">
        <v>4</v>
      </c>
      <c r="C10" s="31">
        <f>Опросник!Q28</f>
        <v>4</v>
      </c>
      <c r="D10" s="32" t="s">
        <v>112</v>
      </c>
      <c r="E10" s="33">
        <f t="shared" si="0"/>
        <v>0</v>
      </c>
      <c r="F10" s="33">
        <f t="shared" si="1"/>
        <v>0</v>
      </c>
      <c r="G10" s="34">
        <f t="shared" si="2"/>
        <v>0</v>
      </c>
    </row>
    <row r="11" spans="2:8" x14ac:dyDescent="0.35">
      <c r="B11" s="30">
        <v>5</v>
      </c>
      <c r="C11" s="31">
        <f>Опросник!Q30</f>
        <v>2</v>
      </c>
      <c r="D11" s="32" t="s">
        <v>113</v>
      </c>
      <c r="E11" s="33">
        <f t="shared" si="0"/>
        <v>0</v>
      </c>
      <c r="F11" s="33">
        <f t="shared" si="1"/>
        <v>0</v>
      </c>
      <c r="G11" s="34">
        <f t="shared" si="2"/>
        <v>0</v>
      </c>
    </row>
    <row r="12" spans="2:8" x14ac:dyDescent="0.35">
      <c r="B12" s="30">
        <v>6</v>
      </c>
      <c r="C12" s="31">
        <f>Опросник!Q32</f>
        <v>1</v>
      </c>
      <c r="D12" s="32" t="s">
        <v>114</v>
      </c>
      <c r="E12" s="33">
        <f t="shared" si="0"/>
        <v>0</v>
      </c>
      <c r="F12" s="33">
        <f t="shared" si="1"/>
        <v>0</v>
      </c>
      <c r="G12" s="34">
        <f t="shared" si="2"/>
        <v>0</v>
      </c>
    </row>
    <row r="13" spans="2:8" x14ac:dyDescent="0.35">
      <c r="B13" s="30">
        <v>7</v>
      </c>
      <c r="C13" s="31">
        <f>Опросник!Q34</f>
        <v>2</v>
      </c>
      <c r="D13" s="32" t="s">
        <v>115</v>
      </c>
      <c r="E13" s="33">
        <f t="shared" si="0"/>
        <v>0</v>
      </c>
      <c r="F13" s="33">
        <f t="shared" si="1"/>
        <v>0</v>
      </c>
      <c r="G13" s="34">
        <f t="shared" si="2"/>
        <v>0</v>
      </c>
    </row>
    <row r="14" spans="2:8" x14ac:dyDescent="0.35">
      <c r="B14" s="30">
        <v>8</v>
      </c>
      <c r="C14" s="31">
        <f>Опросник!Q36</f>
        <v>4</v>
      </c>
      <c r="D14" s="32" t="s">
        <v>116</v>
      </c>
      <c r="E14" s="33">
        <f t="shared" si="0"/>
        <v>0</v>
      </c>
      <c r="F14" s="33">
        <f t="shared" si="1"/>
        <v>0</v>
      </c>
      <c r="G14" s="34">
        <f t="shared" si="2"/>
        <v>0</v>
      </c>
    </row>
    <row r="15" spans="2:8" x14ac:dyDescent="0.35">
      <c r="B15" s="30">
        <v>9</v>
      </c>
      <c r="C15" s="31">
        <f>Опросник!Q38</f>
        <v>2</v>
      </c>
      <c r="D15" s="32" t="s">
        <v>117</v>
      </c>
      <c r="E15" s="33">
        <f t="shared" si="0"/>
        <v>0</v>
      </c>
      <c r="F15" s="33">
        <f t="shared" si="1"/>
        <v>0</v>
      </c>
      <c r="G15" s="34">
        <f t="shared" si="2"/>
        <v>0</v>
      </c>
    </row>
    <row r="16" spans="2:8" x14ac:dyDescent="0.35">
      <c r="B16" s="30">
        <v>10</v>
      </c>
      <c r="C16" s="31">
        <f>Опросник!Q40</f>
        <v>2</v>
      </c>
      <c r="D16" s="32" t="s">
        <v>118</v>
      </c>
      <c r="E16" s="33">
        <f t="shared" si="0"/>
        <v>0</v>
      </c>
      <c r="F16" s="33">
        <f t="shared" si="1"/>
        <v>0</v>
      </c>
      <c r="G16" s="34">
        <f t="shared" si="2"/>
        <v>0</v>
      </c>
    </row>
    <row r="17" spans="2:7" x14ac:dyDescent="0.35">
      <c r="B17" s="30">
        <v>11</v>
      </c>
      <c r="C17" s="31">
        <f>Опросник!Q42</f>
        <v>3</v>
      </c>
      <c r="D17" s="32" t="s">
        <v>119</v>
      </c>
      <c r="E17" s="33">
        <f t="shared" si="0"/>
        <v>0</v>
      </c>
      <c r="F17" s="33">
        <f t="shared" si="1"/>
        <v>0</v>
      </c>
      <c r="G17" s="34">
        <f t="shared" si="2"/>
        <v>0</v>
      </c>
    </row>
    <row r="18" spans="2:7" x14ac:dyDescent="0.35">
      <c r="B18" s="30">
        <v>12</v>
      </c>
      <c r="C18" s="31">
        <f>Опросник!Q51</f>
        <v>2</v>
      </c>
      <c r="D18" s="32" t="s">
        <v>121</v>
      </c>
      <c r="E18" s="33">
        <f t="shared" si="0"/>
        <v>0</v>
      </c>
      <c r="F18" s="33">
        <f t="shared" si="1"/>
        <v>0</v>
      </c>
      <c r="G18" s="34">
        <f t="shared" si="2"/>
        <v>0</v>
      </c>
    </row>
    <row r="19" spans="2:7" x14ac:dyDescent="0.35">
      <c r="B19" s="30">
        <v>13</v>
      </c>
      <c r="C19" s="31">
        <f>Опросник!Q53</f>
        <v>4</v>
      </c>
      <c r="D19" s="32" t="s">
        <v>120</v>
      </c>
      <c r="E19" s="33">
        <f t="shared" si="0"/>
        <v>0</v>
      </c>
      <c r="F19" s="33">
        <f t="shared" si="1"/>
        <v>0</v>
      </c>
      <c r="G19" s="34">
        <f t="shared" si="2"/>
        <v>0</v>
      </c>
    </row>
    <row r="20" spans="2:7" x14ac:dyDescent="0.35">
      <c r="B20" s="30">
        <v>14</v>
      </c>
      <c r="C20" s="31">
        <f>Опросник!Q55</f>
        <v>2</v>
      </c>
      <c r="D20" s="32" t="s">
        <v>122</v>
      </c>
      <c r="E20" s="33">
        <f t="shared" si="0"/>
        <v>0</v>
      </c>
      <c r="F20" s="33">
        <f t="shared" si="1"/>
        <v>0</v>
      </c>
      <c r="G20" s="34">
        <f t="shared" si="2"/>
        <v>0</v>
      </c>
    </row>
    <row r="21" spans="2:7" x14ac:dyDescent="0.35">
      <c r="B21" s="30">
        <v>15</v>
      </c>
      <c r="C21" s="31">
        <f>Опросник!Q57</f>
        <v>3</v>
      </c>
      <c r="D21" s="32" t="s">
        <v>123</v>
      </c>
      <c r="E21" s="33">
        <f t="shared" si="0"/>
        <v>0</v>
      </c>
      <c r="F21" s="33">
        <f t="shared" si="1"/>
        <v>0</v>
      </c>
      <c r="G21" s="34">
        <f t="shared" si="2"/>
        <v>0</v>
      </c>
    </row>
    <row r="22" spans="2:7" x14ac:dyDescent="0.35">
      <c r="B22" s="30">
        <v>16</v>
      </c>
      <c r="C22" s="31">
        <f>Опросник!Q59</f>
        <v>2</v>
      </c>
      <c r="D22" s="32" t="s">
        <v>124</v>
      </c>
      <c r="E22" s="33">
        <f t="shared" si="0"/>
        <v>0</v>
      </c>
      <c r="F22" s="33">
        <f t="shared" si="1"/>
        <v>0</v>
      </c>
      <c r="G22" s="34">
        <f t="shared" si="2"/>
        <v>0</v>
      </c>
    </row>
    <row r="23" spans="2:7" x14ac:dyDescent="0.35">
      <c r="B23" s="30">
        <v>17</v>
      </c>
      <c r="C23" s="31">
        <f>Опросник!Q61</f>
        <v>4</v>
      </c>
      <c r="D23" s="32" t="s">
        <v>125</v>
      </c>
      <c r="E23" s="33">
        <f t="shared" si="0"/>
        <v>0</v>
      </c>
      <c r="F23" s="33">
        <f t="shared" si="1"/>
        <v>0</v>
      </c>
      <c r="G23" s="34">
        <f t="shared" si="2"/>
        <v>0</v>
      </c>
    </row>
    <row r="24" spans="2:7" x14ac:dyDescent="0.35">
      <c r="B24" s="30">
        <v>18</v>
      </c>
      <c r="C24" s="31">
        <f>Опросник!Q63</f>
        <v>2</v>
      </c>
      <c r="D24" s="32" t="s">
        <v>126</v>
      </c>
      <c r="E24" s="33">
        <f t="shared" si="0"/>
        <v>0</v>
      </c>
      <c r="F24" s="33">
        <f t="shared" si="1"/>
        <v>0</v>
      </c>
      <c r="G24" s="34">
        <f t="shared" si="2"/>
        <v>0</v>
      </c>
    </row>
    <row r="25" spans="2:7" x14ac:dyDescent="0.35">
      <c r="B25" s="30">
        <v>19</v>
      </c>
      <c r="C25" s="31">
        <f>Опросник!Q65</f>
        <v>1</v>
      </c>
      <c r="D25" s="32" t="s">
        <v>109</v>
      </c>
      <c r="E25" s="33">
        <f t="shared" si="0"/>
        <v>0</v>
      </c>
      <c r="F25" s="33">
        <f t="shared" si="1"/>
        <v>0</v>
      </c>
      <c r="G25" s="34">
        <f t="shared" si="2"/>
        <v>0</v>
      </c>
    </row>
    <row r="26" spans="2:7" x14ac:dyDescent="0.35">
      <c r="B26" s="30">
        <v>20</v>
      </c>
      <c r="C26" s="31">
        <f>Опросник!Q67</f>
        <v>4</v>
      </c>
      <c r="D26" s="32" t="s">
        <v>110</v>
      </c>
      <c r="E26" s="33">
        <f t="shared" si="0"/>
        <v>0</v>
      </c>
      <c r="F26" s="33">
        <f t="shared" si="1"/>
        <v>0</v>
      </c>
      <c r="G26" s="34">
        <f t="shared" si="2"/>
        <v>0</v>
      </c>
    </row>
    <row r="27" spans="2:7" x14ac:dyDescent="0.35">
      <c r="B27" s="30">
        <v>21</v>
      </c>
      <c r="C27" s="31">
        <f>Опросник!Q69</f>
        <v>3</v>
      </c>
      <c r="D27" s="32" t="s">
        <v>111</v>
      </c>
      <c r="E27" s="33">
        <f t="shared" si="0"/>
        <v>0</v>
      </c>
      <c r="F27" s="33">
        <f t="shared" si="1"/>
        <v>0</v>
      </c>
      <c r="G27" s="34">
        <f t="shared" si="2"/>
        <v>0</v>
      </c>
    </row>
    <row r="28" spans="2:7" x14ac:dyDescent="0.35">
      <c r="B28" s="30">
        <v>22</v>
      </c>
      <c r="C28" s="31">
        <f>Опросник!Q71</f>
        <v>3</v>
      </c>
      <c r="D28" s="32" t="s">
        <v>112</v>
      </c>
      <c r="E28" s="33">
        <f t="shared" si="0"/>
        <v>0</v>
      </c>
      <c r="F28" s="33">
        <f t="shared" si="1"/>
        <v>0</v>
      </c>
      <c r="G28" s="34">
        <f t="shared" si="2"/>
        <v>0</v>
      </c>
    </row>
    <row r="29" spans="2:7" x14ac:dyDescent="0.35">
      <c r="B29" s="30">
        <v>23</v>
      </c>
      <c r="C29" s="31">
        <f>Опросник!Q80</f>
        <v>1</v>
      </c>
      <c r="D29" s="32" t="s">
        <v>113</v>
      </c>
      <c r="E29" s="33">
        <f t="shared" si="0"/>
        <v>0</v>
      </c>
      <c r="F29" s="33">
        <f t="shared" si="1"/>
        <v>0</v>
      </c>
      <c r="G29" s="34">
        <f t="shared" si="2"/>
        <v>0</v>
      </c>
    </row>
    <row r="30" spans="2:7" x14ac:dyDescent="0.35">
      <c r="B30" s="30">
        <v>24</v>
      </c>
      <c r="C30" s="31">
        <f>Опросник!Q82</f>
        <v>2</v>
      </c>
      <c r="D30" s="32" t="s">
        <v>114</v>
      </c>
      <c r="E30" s="33">
        <f t="shared" si="0"/>
        <v>0</v>
      </c>
      <c r="F30" s="33">
        <f t="shared" si="1"/>
        <v>0</v>
      </c>
      <c r="G30" s="34">
        <f t="shared" si="2"/>
        <v>0</v>
      </c>
    </row>
    <row r="31" spans="2:7" x14ac:dyDescent="0.35">
      <c r="B31" s="30">
        <v>25</v>
      </c>
      <c r="C31" s="31">
        <f>Опросник!Q84</f>
        <v>3</v>
      </c>
      <c r="D31" s="32" t="s">
        <v>115</v>
      </c>
      <c r="E31" s="33">
        <f t="shared" si="0"/>
        <v>0</v>
      </c>
      <c r="F31" s="33">
        <f t="shared" si="1"/>
        <v>0</v>
      </c>
      <c r="G31" s="34">
        <f t="shared" si="2"/>
        <v>0</v>
      </c>
    </row>
    <row r="32" spans="2:7" x14ac:dyDescent="0.35">
      <c r="B32" s="30">
        <v>26</v>
      </c>
      <c r="C32" s="31">
        <f>Опросник!Q86</f>
        <v>4</v>
      </c>
      <c r="D32" s="32" t="s">
        <v>116</v>
      </c>
      <c r="E32" s="33">
        <f t="shared" si="0"/>
        <v>0</v>
      </c>
      <c r="F32" s="33">
        <f t="shared" si="1"/>
        <v>0</v>
      </c>
      <c r="G32" s="34">
        <f t="shared" si="2"/>
        <v>0</v>
      </c>
    </row>
    <row r="33" spans="2:7" x14ac:dyDescent="0.35">
      <c r="B33" s="30">
        <v>27</v>
      </c>
      <c r="C33" s="31">
        <f>Опросник!Q88</f>
        <v>3</v>
      </c>
      <c r="D33" s="32" t="s">
        <v>117</v>
      </c>
      <c r="E33" s="33">
        <f t="shared" si="0"/>
        <v>0</v>
      </c>
      <c r="F33" s="33">
        <f t="shared" si="1"/>
        <v>0</v>
      </c>
      <c r="G33" s="34">
        <f t="shared" si="2"/>
        <v>0</v>
      </c>
    </row>
    <row r="34" spans="2:7" x14ac:dyDescent="0.35">
      <c r="B34" s="30">
        <v>28</v>
      </c>
      <c r="C34" s="31">
        <f>Опросник!Q90</f>
        <v>5</v>
      </c>
      <c r="D34" s="32" t="s">
        <v>118</v>
      </c>
      <c r="E34" s="33">
        <f t="shared" si="0"/>
        <v>1</v>
      </c>
      <c r="F34" s="33">
        <f t="shared" si="1"/>
        <v>0</v>
      </c>
      <c r="G34" s="34">
        <f t="shared" si="2"/>
        <v>1</v>
      </c>
    </row>
    <row r="35" spans="2:7" x14ac:dyDescent="0.35">
      <c r="B35" s="30">
        <v>29</v>
      </c>
      <c r="C35" s="31">
        <f>Опросник!Q92</f>
        <v>4</v>
      </c>
      <c r="D35" s="32" t="s">
        <v>119</v>
      </c>
      <c r="E35" s="33">
        <f t="shared" si="0"/>
        <v>0</v>
      </c>
      <c r="F35" s="33">
        <f t="shared" si="1"/>
        <v>0</v>
      </c>
      <c r="G35" s="34">
        <f t="shared" si="2"/>
        <v>0</v>
      </c>
    </row>
    <row r="36" spans="2:7" x14ac:dyDescent="0.35">
      <c r="B36" s="30">
        <v>30</v>
      </c>
      <c r="C36" s="31">
        <f>Опросник!Q94</f>
        <v>4</v>
      </c>
      <c r="D36" s="32" t="s">
        <v>121</v>
      </c>
      <c r="E36" s="33">
        <f t="shared" si="0"/>
        <v>0</v>
      </c>
      <c r="F36" s="33">
        <f t="shared" si="1"/>
        <v>0</v>
      </c>
      <c r="G36" s="34">
        <f t="shared" si="2"/>
        <v>0</v>
      </c>
    </row>
    <row r="37" spans="2:7" x14ac:dyDescent="0.35">
      <c r="B37" s="30">
        <v>31</v>
      </c>
      <c r="C37" s="31">
        <f>Опросник!Q96</f>
        <v>4</v>
      </c>
      <c r="D37" s="32" t="s">
        <v>120</v>
      </c>
      <c r="E37" s="33">
        <f t="shared" si="0"/>
        <v>0</v>
      </c>
      <c r="F37" s="33">
        <f t="shared" si="1"/>
        <v>0</v>
      </c>
      <c r="G37" s="34">
        <f t="shared" si="2"/>
        <v>0</v>
      </c>
    </row>
    <row r="38" spans="2:7" x14ac:dyDescent="0.35">
      <c r="B38" s="30">
        <v>32</v>
      </c>
      <c r="C38" s="31">
        <f>Опросник!Q98</f>
        <v>2</v>
      </c>
      <c r="D38" s="32" t="s">
        <v>122</v>
      </c>
      <c r="E38" s="33">
        <f t="shared" si="0"/>
        <v>0</v>
      </c>
      <c r="F38" s="33">
        <f t="shared" si="1"/>
        <v>0</v>
      </c>
      <c r="G38" s="34">
        <f t="shared" si="2"/>
        <v>0</v>
      </c>
    </row>
    <row r="39" spans="2:7" x14ac:dyDescent="0.35">
      <c r="B39" s="30">
        <v>33</v>
      </c>
      <c r="C39" s="31">
        <f>Опросник!Q100</f>
        <v>1</v>
      </c>
      <c r="D39" s="32" t="s">
        <v>123</v>
      </c>
      <c r="E39" s="33">
        <f t="shared" si="0"/>
        <v>0</v>
      </c>
      <c r="F39" s="33">
        <f t="shared" si="1"/>
        <v>0</v>
      </c>
      <c r="G39" s="34">
        <f t="shared" si="2"/>
        <v>0</v>
      </c>
    </row>
    <row r="40" spans="2:7" x14ac:dyDescent="0.35">
      <c r="B40" s="30">
        <v>34</v>
      </c>
      <c r="C40" s="31">
        <f>Опросник!Q109</f>
        <v>4</v>
      </c>
      <c r="D40" s="32" t="s">
        <v>124</v>
      </c>
      <c r="E40" s="33">
        <f t="shared" si="0"/>
        <v>0</v>
      </c>
      <c r="F40" s="33">
        <f t="shared" si="1"/>
        <v>0</v>
      </c>
      <c r="G40" s="34">
        <f t="shared" si="2"/>
        <v>0</v>
      </c>
    </row>
    <row r="41" spans="2:7" x14ac:dyDescent="0.35">
      <c r="B41" s="30">
        <v>35</v>
      </c>
      <c r="C41" s="31">
        <f>Опросник!Q111</f>
        <v>3</v>
      </c>
      <c r="D41" s="32" t="s">
        <v>125</v>
      </c>
      <c r="E41" s="33">
        <f t="shared" si="0"/>
        <v>0</v>
      </c>
      <c r="F41" s="33">
        <f t="shared" si="1"/>
        <v>0</v>
      </c>
      <c r="G41" s="34">
        <f t="shared" si="2"/>
        <v>0</v>
      </c>
    </row>
    <row r="42" spans="2:7" x14ac:dyDescent="0.35">
      <c r="B42" s="30">
        <v>36</v>
      </c>
      <c r="C42" s="31">
        <f>Опросник!Q113</f>
        <v>3</v>
      </c>
      <c r="D42" s="32" t="s">
        <v>126</v>
      </c>
      <c r="E42" s="33">
        <f t="shared" si="0"/>
        <v>0</v>
      </c>
      <c r="F42" s="33">
        <f t="shared" si="1"/>
        <v>0</v>
      </c>
      <c r="G42" s="34">
        <f t="shared" si="2"/>
        <v>0</v>
      </c>
    </row>
    <row r="43" spans="2:7" x14ac:dyDescent="0.35">
      <c r="B43" s="30">
        <v>37</v>
      </c>
      <c r="C43" s="31">
        <f>Опросник!Q115</f>
        <v>1</v>
      </c>
      <c r="D43" s="32" t="s">
        <v>109</v>
      </c>
      <c r="E43" s="33">
        <f t="shared" si="0"/>
        <v>0</v>
      </c>
      <c r="F43" s="33">
        <f t="shared" si="1"/>
        <v>0</v>
      </c>
      <c r="G43" s="34">
        <f t="shared" si="2"/>
        <v>0</v>
      </c>
    </row>
    <row r="44" spans="2:7" x14ac:dyDescent="0.35">
      <c r="B44" s="30">
        <v>38</v>
      </c>
      <c r="C44" s="31">
        <f>Опросник!Q117</f>
        <v>3</v>
      </c>
      <c r="D44" s="32" t="s">
        <v>110</v>
      </c>
      <c r="E44" s="33">
        <f t="shared" si="0"/>
        <v>0</v>
      </c>
      <c r="F44" s="33">
        <f t="shared" si="1"/>
        <v>0</v>
      </c>
      <c r="G44" s="34">
        <f t="shared" si="2"/>
        <v>0</v>
      </c>
    </row>
    <row r="45" spans="2:7" x14ac:dyDescent="0.35">
      <c r="B45" s="30">
        <v>39</v>
      </c>
      <c r="C45" s="31">
        <f>Опросник!Q119</f>
        <v>3</v>
      </c>
      <c r="D45" s="32" t="s">
        <v>111</v>
      </c>
      <c r="E45" s="33">
        <f t="shared" si="0"/>
        <v>0</v>
      </c>
      <c r="F45" s="33">
        <f t="shared" si="1"/>
        <v>0</v>
      </c>
      <c r="G45" s="34">
        <f t="shared" si="2"/>
        <v>0</v>
      </c>
    </row>
    <row r="46" spans="2:7" x14ac:dyDescent="0.35">
      <c r="B46" s="30">
        <v>40</v>
      </c>
      <c r="C46" s="31">
        <f>Опросник!Q121</f>
        <v>4</v>
      </c>
      <c r="D46" s="32" t="s">
        <v>112</v>
      </c>
      <c r="E46" s="33">
        <f t="shared" si="0"/>
        <v>0</v>
      </c>
      <c r="F46" s="33">
        <f t="shared" si="1"/>
        <v>0</v>
      </c>
      <c r="G46" s="34">
        <f t="shared" si="2"/>
        <v>0</v>
      </c>
    </row>
    <row r="47" spans="2:7" x14ac:dyDescent="0.35">
      <c r="B47" s="30">
        <v>41</v>
      </c>
      <c r="C47" s="31">
        <f>Опросник!Q123</f>
        <v>1</v>
      </c>
      <c r="D47" s="32" t="s">
        <v>113</v>
      </c>
      <c r="E47" s="33">
        <f t="shared" si="0"/>
        <v>0</v>
      </c>
      <c r="F47" s="33">
        <f t="shared" si="1"/>
        <v>0</v>
      </c>
      <c r="G47" s="34">
        <f t="shared" si="2"/>
        <v>0</v>
      </c>
    </row>
    <row r="48" spans="2:7" x14ac:dyDescent="0.35">
      <c r="B48" s="30">
        <v>42</v>
      </c>
      <c r="C48" s="31">
        <f>Опросник!Q125</f>
        <v>2</v>
      </c>
      <c r="D48" s="32" t="s">
        <v>114</v>
      </c>
      <c r="E48" s="33">
        <f t="shared" si="0"/>
        <v>0</v>
      </c>
      <c r="F48" s="33">
        <f t="shared" si="1"/>
        <v>0</v>
      </c>
      <c r="G48" s="34">
        <f t="shared" si="2"/>
        <v>0</v>
      </c>
    </row>
    <row r="49" spans="2:7" x14ac:dyDescent="0.35">
      <c r="B49" s="30">
        <v>43</v>
      </c>
      <c r="C49" s="31">
        <f>Опросник!Q127</f>
        <v>2</v>
      </c>
      <c r="D49" s="32" t="s">
        <v>115</v>
      </c>
      <c r="E49" s="33">
        <f t="shared" si="0"/>
        <v>0</v>
      </c>
      <c r="F49" s="33">
        <f t="shared" si="1"/>
        <v>0</v>
      </c>
      <c r="G49" s="34">
        <f t="shared" si="2"/>
        <v>0</v>
      </c>
    </row>
    <row r="50" spans="2:7" x14ac:dyDescent="0.35">
      <c r="B50" s="30">
        <v>44</v>
      </c>
      <c r="C50" s="31">
        <f>Опросник!Q129</f>
        <v>4</v>
      </c>
      <c r="D50" s="32" t="s">
        <v>116</v>
      </c>
      <c r="E50" s="33">
        <f t="shared" si="0"/>
        <v>0</v>
      </c>
      <c r="F50" s="33">
        <f t="shared" si="1"/>
        <v>0</v>
      </c>
      <c r="G50" s="34">
        <f t="shared" si="2"/>
        <v>0</v>
      </c>
    </row>
    <row r="51" spans="2:7" x14ac:dyDescent="0.35">
      <c r="B51" s="30">
        <v>45</v>
      </c>
      <c r="C51" s="31">
        <f>Опросник!Q138</f>
        <v>4</v>
      </c>
      <c r="D51" s="32" t="s">
        <v>117</v>
      </c>
      <c r="E51" s="33">
        <f t="shared" si="0"/>
        <v>0</v>
      </c>
      <c r="F51" s="33">
        <f t="shared" si="1"/>
        <v>0</v>
      </c>
      <c r="G51" s="34">
        <f t="shared" si="2"/>
        <v>0</v>
      </c>
    </row>
    <row r="52" spans="2:7" x14ac:dyDescent="0.35">
      <c r="B52" s="30">
        <v>46</v>
      </c>
      <c r="C52" s="31">
        <f>Опросник!Q140</f>
        <v>2</v>
      </c>
      <c r="D52" s="32" t="s">
        <v>118</v>
      </c>
      <c r="E52" s="33">
        <f t="shared" si="0"/>
        <v>0</v>
      </c>
      <c r="F52" s="33">
        <f t="shared" si="1"/>
        <v>0</v>
      </c>
      <c r="G52" s="34">
        <f t="shared" si="2"/>
        <v>0</v>
      </c>
    </row>
    <row r="53" spans="2:7" x14ac:dyDescent="0.35">
      <c r="B53" s="30">
        <v>47</v>
      </c>
      <c r="C53" s="31">
        <f>Опросник!Q142</f>
        <v>3</v>
      </c>
      <c r="D53" s="32" t="s">
        <v>119</v>
      </c>
      <c r="E53" s="33">
        <f t="shared" si="0"/>
        <v>0</v>
      </c>
      <c r="F53" s="33">
        <f t="shared" si="1"/>
        <v>0</v>
      </c>
      <c r="G53" s="34">
        <f t="shared" si="2"/>
        <v>0</v>
      </c>
    </row>
    <row r="54" spans="2:7" x14ac:dyDescent="0.35">
      <c r="B54" s="30">
        <v>48</v>
      </c>
      <c r="C54" s="31">
        <f>Опросник!Q144</f>
        <v>3</v>
      </c>
      <c r="D54" s="32" t="s">
        <v>121</v>
      </c>
      <c r="E54" s="33">
        <f t="shared" si="0"/>
        <v>0</v>
      </c>
      <c r="F54" s="33">
        <f t="shared" si="1"/>
        <v>0</v>
      </c>
      <c r="G54" s="34">
        <f t="shared" si="2"/>
        <v>0</v>
      </c>
    </row>
    <row r="55" spans="2:7" x14ac:dyDescent="0.35">
      <c r="B55" s="30">
        <v>49</v>
      </c>
      <c r="C55" s="31">
        <f>Опросник!Q146</f>
        <v>5</v>
      </c>
      <c r="D55" s="32" t="s">
        <v>120</v>
      </c>
      <c r="E55" s="33">
        <f t="shared" si="0"/>
        <v>1</v>
      </c>
      <c r="F55" s="33">
        <f t="shared" si="1"/>
        <v>0</v>
      </c>
      <c r="G55" s="34">
        <f t="shared" si="2"/>
        <v>1</v>
      </c>
    </row>
    <row r="56" spans="2:7" x14ac:dyDescent="0.35">
      <c r="B56" s="30">
        <v>50</v>
      </c>
      <c r="C56" s="31">
        <f>Опросник!Q148</f>
        <v>4</v>
      </c>
      <c r="D56" s="32" t="s">
        <v>122</v>
      </c>
      <c r="E56" s="33">
        <f t="shared" si="0"/>
        <v>0</v>
      </c>
      <c r="F56" s="33">
        <f t="shared" si="1"/>
        <v>0</v>
      </c>
      <c r="G56" s="34">
        <f t="shared" si="2"/>
        <v>0</v>
      </c>
    </row>
    <row r="57" spans="2:7" x14ac:dyDescent="0.35">
      <c r="B57" s="30">
        <v>51</v>
      </c>
      <c r="C57" s="31">
        <f>Опросник!Q150</f>
        <v>4</v>
      </c>
      <c r="D57" s="32" t="s">
        <v>123</v>
      </c>
      <c r="E57" s="33">
        <f t="shared" si="0"/>
        <v>0</v>
      </c>
      <c r="F57" s="33">
        <f t="shared" si="1"/>
        <v>0</v>
      </c>
      <c r="G57" s="34">
        <f t="shared" si="2"/>
        <v>0</v>
      </c>
    </row>
    <row r="58" spans="2:7" x14ac:dyDescent="0.35">
      <c r="B58" s="30">
        <v>52</v>
      </c>
      <c r="C58" s="31">
        <f>Опросник!Q152</f>
        <v>2</v>
      </c>
      <c r="D58" s="32" t="s">
        <v>124</v>
      </c>
      <c r="E58" s="33">
        <f t="shared" si="0"/>
        <v>0</v>
      </c>
      <c r="F58" s="33">
        <f t="shared" si="1"/>
        <v>0</v>
      </c>
      <c r="G58" s="34">
        <f t="shared" si="2"/>
        <v>0</v>
      </c>
    </row>
    <row r="59" spans="2:7" x14ac:dyDescent="0.35">
      <c r="B59" s="30">
        <v>53</v>
      </c>
      <c r="C59" s="31">
        <f>Опросник!Q154</f>
        <v>4</v>
      </c>
      <c r="D59" s="32" t="s">
        <v>125</v>
      </c>
      <c r="E59" s="33">
        <f t="shared" si="0"/>
        <v>0</v>
      </c>
      <c r="F59" s="33">
        <f t="shared" si="1"/>
        <v>0</v>
      </c>
      <c r="G59" s="34">
        <f t="shared" si="2"/>
        <v>0</v>
      </c>
    </row>
    <row r="60" spans="2:7" x14ac:dyDescent="0.35">
      <c r="B60" s="30">
        <v>54</v>
      </c>
      <c r="C60" s="31">
        <f>Опросник!Q156</f>
        <v>4</v>
      </c>
      <c r="D60" s="32" t="s">
        <v>126</v>
      </c>
      <c r="E60" s="33">
        <f t="shared" si="0"/>
        <v>0</v>
      </c>
      <c r="F60" s="33">
        <f t="shared" si="1"/>
        <v>0</v>
      </c>
      <c r="G60" s="34">
        <f t="shared" si="2"/>
        <v>0</v>
      </c>
    </row>
    <row r="61" spans="2:7" x14ac:dyDescent="0.35">
      <c r="B61" s="30">
        <v>55</v>
      </c>
      <c r="C61" s="31">
        <f>Опросник!Q158</f>
        <v>3</v>
      </c>
      <c r="D61" s="32" t="s">
        <v>109</v>
      </c>
      <c r="E61" s="33">
        <f t="shared" si="0"/>
        <v>0</v>
      </c>
      <c r="F61" s="33">
        <f t="shared" si="1"/>
        <v>0</v>
      </c>
      <c r="G61" s="34">
        <f t="shared" si="2"/>
        <v>0</v>
      </c>
    </row>
    <row r="62" spans="2:7" x14ac:dyDescent="0.35">
      <c r="B62" s="30">
        <v>56</v>
      </c>
      <c r="C62" s="31">
        <f>Опросник!Q167</f>
        <v>4</v>
      </c>
      <c r="D62" s="32" t="s">
        <v>110</v>
      </c>
      <c r="E62" s="33">
        <f t="shared" si="0"/>
        <v>0</v>
      </c>
      <c r="F62" s="33">
        <f t="shared" si="1"/>
        <v>0</v>
      </c>
      <c r="G62" s="34">
        <f t="shared" si="2"/>
        <v>0</v>
      </c>
    </row>
    <row r="63" spans="2:7" x14ac:dyDescent="0.35">
      <c r="B63" s="30">
        <v>57</v>
      </c>
      <c r="C63" s="31">
        <f>Опросник!Q169</f>
        <v>5</v>
      </c>
      <c r="D63" s="32" t="s">
        <v>111</v>
      </c>
      <c r="E63" s="33">
        <f t="shared" si="0"/>
        <v>1</v>
      </c>
      <c r="F63" s="33">
        <f t="shared" si="1"/>
        <v>0</v>
      </c>
      <c r="G63" s="34">
        <f t="shared" si="2"/>
        <v>1</v>
      </c>
    </row>
    <row r="64" spans="2:7" x14ac:dyDescent="0.35">
      <c r="B64" s="30">
        <v>58</v>
      </c>
      <c r="C64" s="31">
        <f>Опросник!Q171</f>
        <v>2</v>
      </c>
      <c r="D64" s="32" t="s">
        <v>112</v>
      </c>
      <c r="E64" s="33">
        <f t="shared" si="0"/>
        <v>0</v>
      </c>
      <c r="F64" s="33">
        <f t="shared" si="1"/>
        <v>0</v>
      </c>
      <c r="G64" s="34">
        <f t="shared" si="2"/>
        <v>0</v>
      </c>
    </row>
    <row r="65" spans="2:7" x14ac:dyDescent="0.35">
      <c r="B65" s="30">
        <v>59</v>
      </c>
      <c r="C65" s="31">
        <f>Опросник!Q173</f>
        <v>2</v>
      </c>
      <c r="D65" s="32" t="s">
        <v>113</v>
      </c>
      <c r="E65" s="33">
        <f t="shared" si="0"/>
        <v>0</v>
      </c>
      <c r="F65" s="33">
        <f t="shared" si="1"/>
        <v>0</v>
      </c>
      <c r="G65" s="34">
        <f t="shared" si="2"/>
        <v>0</v>
      </c>
    </row>
    <row r="66" spans="2:7" x14ac:dyDescent="0.35">
      <c r="B66" s="30">
        <v>60</v>
      </c>
      <c r="C66" s="31">
        <f>Опросник!Q175</f>
        <v>2</v>
      </c>
      <c r="D66" s="32" t="s">
        <v>114</v>
      </c>
      <c r="E66" s="33">
        <f t="shared" si="0"/>
        <v>0</v>
      </c>
      <c r="F66" s="33">
        <f t="shared" si="1"/>
        <v>0</v>
      </c>
      <c r="G66" s="34">
        <f t="shared" si="2"/>
        <v>0</v>
      </c>
    </row>
    <row r="67" spans="2:7" x14ac:dyDescent="0.35">
      <c r="B67" s="30">
        <v>61</v>
      </c>
      <c r="C67" s="31">
        <f>Опросник!Q177</f>
        <v>2</v>
      </c>
      <c r="D67" s="32" t="s">
        <v>115</v>
      </c>
      <c r="E67" s="33">
        <f t="shared" si="0"/>
        <v>0</v>
      </c>
      <c r="F67" s="33">
        <f t="shared" si="1"/>
        <v>0</v>
      </c>
      <c r="G67" s="34">
        <f t="shared" si="2"/>
        <v>0</v>
      </c>
    </row>
    <row r="68" spans="2:7" x14ac:dyDescent="0.35">
      <c r="B68" s="30">
        <v>62</v>
      </c>
      <c r="C68" s="31">
        <f>Опросник!Q179</f>
        <v>4</v>
      </c>
      <c r="D68" s="32" t="s">
        <v>116</v>
      </c>
      <c r="E68" s="33">
        <f t="shared" si="0"/>
        <v>0</v>
      </c>
      <c r="F68" s="33">
        <f t="shared" si="1"/>
        <v>0</v>
      </c>
      <c r="G68" s="34">
        <f t="shared" si="2"/>
        <v>0</v>
      </c>
    </row>
    <row r="69" spans="2:7" x14ac:dyDescent="0.35">
      <c r="B69" s="30">
        <v>63</v>
      </c>
      <c r="C69" s="31">
        <f>Опросник!Q181</f>
        <v>3</v>
      </c>
      <c r="D69" s="32" t="s">
        <v>117</v>
      </c>
      <c r="E69" s="33">
        <f t="shared" si="0"/>
        <v>0</v>
      </c>
      <c r="F69" s="33">
        <f t="shared" si="1"/>
        <v>0</v>
      </c>
      <c r="G69" s="34">
        <f t="shared" si="2"/>
        <v>0</v>
      </c>
    </row>
    <row r="70" spans="2:7" x14ac:dyDescent="0.35">
      <c r="B70" s="30">
        <v>64</v>
      </c>
      <c r="C70" s="31">
        <f>Опросник!Q183</f>
        <v>1</v>
      </c>
      <c r="D70" s="32" t="s">
        <v>118</v>
      </c>
      <c r="E70" s="33">
        <f t="shared" si="0"/>
        <v>0</v>
      </c>
      <c r="F70" s="33">
        <f t="shared" si="1"/>
        <v>0</v>
      </c>
      <c r="G70" s="34">
        <f t="shared" si="2"/>
        <v>0</v>
      </c>
    </row>
    <row r="71" spans="2:7" x14ac:dyDescent="0.35">
      <c r="B71" s="30">
        <v>65</v>
      </c>
      <c r="C71" s="31">
        <f>Опросник!Q185</f>
        <v>4</v>
      </c>
      <c r="D71" s="32" t="s">
        <v>119</v>
      </c>
      <c r="E71" s="33">
        <f t="shared" si="0"/>
        <v>0</v>
      </c>
      <c r="F71" s="33">
        <f t="shared" si="1"/>
        <v>0</v>
      </c>
      <c r="G71" s="34">
        <f t="shared" si="2"/>
        <v>0</v>
      </c>
    </row>
    <row r="72" spans="2:7" x14ac:dyDescent="0.35">
      <c r="B72" s="30">
        <v>66</v>
      </c>
      <c r="C72" s="31">
        <f>Опросник!Q187</f>
        <v>3</v>
      </c>
      <c r="D72" s="32" t="s">
        <v>121</v>
      </c>
      <c r="E72" s="33">
        <f t="shared" ref="E72:E96" si="3">IF(C72=5,1,0)</f>
        <v>0</v>
      </c>
      <c r="F72" s="33">
        <f t="shared" ref="F72:F96" si="4">IF(C72=6,1,0)</f>
        <v>0</v>
      </c>
      <c r="G72" s="34">
        <f t="shared" ref="G72:G96" si="5">E72+F72</f>
        <v>0</v>
      </c>
    </row>
    <row r="73" spans="2:7" x14ac:dyDescent="0.35">
      <c r="B73" s="30">
        <v>67</v>
      </c>
      <c r="C73" s="31">
        <f>Опросник!Q196</f>
        <v>4</v>
      </c>
      <c r="D73" s="32" t="s">
        <v>120</v>
      </c>
      <c r="E73" s="33">
        <f t="shared" si="3"/>
        <v>0</v>
      </c>
      <c r="F73" s="33">
        <f t="shared" si="4"/>
        <v>0</v>
      </c>
      <c r="G73" s="34">
        <f t="shared" si="5"/>
        <v>0</v>
      </c>
    </row>
    <row r="74" spans="2:7" x14ac:dyDescent="0.35">
      <c r="B74" s="30">
        <v>68</v>
      </c>
      <c r="C74" s="31">
        <f>Опросник!Q198</f>
        <v>2</v>
      </c>
      <c r="D74" s="32" t="s">
        <v>122</v>
      </c>
      <c r="E74" s="33">
        <f t="shared" si="3"/>
        <v>0</v>
      </c>
      <c r="F74" s="33">
        <f t="shared" si="4"/>
        <v>0</v>
      </c>
      <c r="G74" s="34">
        <f t="shared" si="5"/>
        <v>0</v>
      </c>
    </row>
    <row r="75" spans="2:7" x14ac:dyDescent="0.35">
      <c r="B75" s="30">
        <v>69</v>
      </c>
      <c r="C75" s="31">
        <f>Опросник!Q200</f>
        <v>4</v>
      </c>
      <c r="D75" s="32" t="s">
        <v>123</v>
      </c>
      <c r="E75" s="33">
        <f t="shared" si="3"/>
        <v>0</v>
      </c>
      <c r="F75" s="33">
        <f t="shared" si="4"/>
        <v>0</v>
      </c>
      <c r="G75" s="34">
        <f t="shared" si="5"/>
        <v>0</v>
      </c>
    </row>
    <row r="76" spans="2:7" x14ac:dyDescent="0.35">
      <c r="B76" s="30">
        <v>70</v>
      </c>
      <c r="C76" s="31">
        <f>Опросник!Q202</f>
        <v>3</v>
      </c>
      <c r="D76" s="32" t="s">
        <v>124</v>
      </c>
      <c r="E76" s="33">
        <f t="shared" si="3"/>
        <v>0</v>
      </c>
      <c r="F76" s="33">
        <f t="shared" si="4"/>
        <v>0</v>
      </c>
      <c r="G76" s="34">
        <f t="shared" si="5"/>
        <v>0</v>
      </c>
    </row>
    <row r="77" spans="2:7" x14ac:dyDescent="0.35">
      <c r="B77" s="30">
        <v>71</v>
      </c>
      <c r="C77" s="31">
        <f>Опросник!Q204</f>
        <v>5</v>
      </c>
      <c r="D77" s="32" t="s">
        <v>125</v>
      </c>
      <c r="E77" s="33">
        <f t="shared" si="3"/>
        <v>1</v>
      </c>
      <c r="F77" s="33">
        <f t="shared" si="4"/>
        <v>0</v>
      </c>
      <c r="G77" s="34">
        <f t="shared" si="5"/>
        <v>1</v>
      </c>
    </row>
    <row r="78" spans="2:7" x14ac:dyDescent="0.35">
      <c r="B78" s="30">
        <v>72</v>
      </c>
      <c r="C78" s="31">
        <f>Опросник!Q206</f>
        <v>4</v>
      </c>
      <c r="D78" s="32" t="s">
        <v>126</v>
      </c>
      <c r="E78" s="33">
        <f t="shared" si="3"/>
        <v>0</v>
      </c>
      <c r="F78" s="33">
        <f t="shared" si="4"/>
        <v>0</v>
      </c>
      <c r="G78" s="34">
        <f t="shared" si="5"/>
        <v>0</v>
      </c>
    </row>
    <row r="79" spans="2:7" x14ac:dyDescent="0.35">
      <c r="B79" s="30">
        <v>73</v>
      </c>
      <c r="C79" s="31">
        <f>Опросник!Q208</f>
        <v>4</v>
      </c>
      <c r="D79" s="32" t="s">
        <v>109</v>
      </c>
      <c r="E79" s="33">
        <f t="shared" si="3"/>
        <v>0</v>
      </c>
      <c r="F79" s="33">
        <f t="shared" si="4"/>
        <v>0</v>
      </c>
      <c r="G79" s="34">
        <f t="shared" si="5"/>
        <v>0</v>
      </c>
    </row>
    <row r="80" spans="2:7" x14ac:dyDescent="0.35">
      <c r="B80" s="30">
        <v>74</v>
      </c>
      <c r="C80" s="31">
        <f>Опросник!Q210</f>
        <v>4</v>
      </c>
      <c r="D80" s="32" t="s">
        <v>110</v>
      </c>
      <c r="E80" s="33">
        <f t="shared" si="3"/>
        <v>0</v>
      </c>
      <c r="F80" s="33">
        <f t="shared" si="4"/>
        <v>0</v>
      </c>
      <c r="G80" s="34">
        <f t="shared" si="5"/>
        <v>0</v>
      </c>
    </row>
    <row r="81" spans="2:7" x14ac:dyDescent="0.35">
      <c r="B81" s="30">
        <v>75</v>
      </c>
      <c r="C81" s="31">
        <f>Опросник!Q212</f>
        <v>5</v>
      </c>
      <c r="D81" s="32" t="s">
        <v>111</v>
      </c>
      <c r="E81" s="33">
        <f t="shared" si="3"/>
        <v>1</v>
      </c>
      <c r="F81" s="33">
        <f t="shared" si="4"/>
        <v>0</v>
      </c>
      <c r="G81" s="34">
        <f t="shared" si="5"/>
        <v>1</v>
      </c>
    </row>
    <row r="82" spans="2:7" x14ac:dyDescent="0.35">
      <c r="B82" s="30">
        <v>76</v>
      </c>
      <c r="C82" s="31">
        <f>Опросник!Q214</f>
        <v>3</v>
      </c>
      <c r="D82" s="32" t="s">
        <v>112</v>
      </c>
      <c r="E82" s="33">
        <f t="shared" si="3"/>
        <v>0</v>
      </c>
      <c r="F82" s="33">
        <f t="shared" si="4"/>
        <v>0</v>
      </c>
      <c r="G82" s="34">
        <f t="shared" si="5"/>
        <v>0</v>
      </c>
    </row>
    <row r="83" spans="2:7" x14ac:dyDescent="0.35">
      <c r="B83" s="30">
        <v>77</v>
      </c>
      <c r="C83" s="31">
        <f>Опросник!Q216</f>
        <v>3</v>
      </c>
      <c r="D83" s="32" t="s">
        <v>113</v>
      </c>
      <c r="E83" s="33">
        <f t="shared" si="3"/>
        <v>0</v>
      </c>
      <c r="F83" s="33">
        <f t="shared" si="4"/>
        <v>0</v>
      </c>
      <c r="G83" s="34">
        <f t="shared" si="5"/>
        <v>0</v>
      </c>
    </row>
    <row r="84" spans="2:7" x14ac:dyDescent="0.35">
      <c r="B84" s="30">
        <v>78</v>
      </c>
      <c r="C84" s="31">
        <f>Опросник!Q225</f>
        <v>2</v>
      </c>
      <c r="D84" s="32" t="s">
        <v>114</v>
      </c>
      <c r="E84" s="33">
        <f t="shared" si="3"/>
        <v>0</v>
      </c>
      <c r="F84" s="33">
        <f t="shared" si="4"/>
        <v>0</v>
      </c>
      <c r="G84" s="34">
        <f t="shared" si="5"/>
        <v>0</v>
      </c>
    </row>
    <row r="85" spans="2:7" x14ac:dyDescent="0.35">
      <c r="B85" s="30">
        <v>79</v>
      </c>
      <c r="C85" s="31">
        <f>Опросник!Q227</f>
        <v>3</v>
      </c>
      <c r="D85" s="32" t="s">
        <v>115</v>
      </c>
      <c r="E85" s="33">
        <f t="shared" si="3"/>
        <v>0</v>
      </c>
      <c r="F85" s="33">
        <f t="shared" si="4"/>
        <v>0</v>
      </c>
      <c r="G85" s="34">
        <f t="shared" si="5"/>
        <v>0</v>
      </c>
    </row>
    <row r="86" spans="2:7" x14ac:dyDescent="0.35">
      <c r="B86" s="30">
        <v>80</v>
      </c>
      <c r="C86" s="31">
        <f>Опросник!Q229</f>
        <v>3</v>
      </c>
      <c r="D86" s="32" t="s">
        <v>116</v>
      </c>
      <c r="E86" s="33">
        <f t="shared" si="3"/>
        <v>0</v>
      </c>
      <c r="F86" s="33">
        <f t="shared" si="4"/>
        <v>0</v>
      </c>
      <c r="G86" s="34">
        <f t="shared" si="5"/>
        <v>0</v>
      </c>
    </row>
    <row r="87" spans="2:7" x14ac:dyDescent="0.35">
      <c r="B87" s="30">
        <v>81</v>
      </c>
      <c r="C87" s="31">
        <f>Опросник!Q231</f>
        <v>3</v>
      </c>
      <c r="D87" s="32" t="s">
        <v>117</v>
      </c>
      <c r="E87" s="33">
        <f t="shared" si="3"/>
        <v>0</v>
      </c>
      <c r="F87" s="33">
        <f t="shared" si="4"/>
        <v>0</v>
      </c>
      <c r="G87" s="34">
        <f t="shared" si="5"/>
        <v>0</v>
      </c>
    </row>
    <row r="88" spans="2:7" x14ac:dyDescent="0.35">
      <c r="B88" s="30">
        <v>82</v>
      </c>
      <c r="C88" s="31">
        <f>Опросник!Q233</f>
        <v>4</v>
      </c>
      <c r="D88" s="32" t="s">
        <v>118</v>
      </c>
      <c r="E88" s="33">
        <f t="shared" si="3"/>
        <v>0</v>
      </c>
      <c r="F88" s="33">
        <f t="shared" si="4"/>
        <v>0</v>
      </c>
      <c r="G88" s="34">
        <f t="shared" si="5"/>
        <v>0</v>
      </c>
    </row>
    <row r="89" spans="2:7" x14ac:dyDescent="0.35">
      <c r="B89" s="30">
        <v>83</v>
      </c>
      <c r="C89" s="31">
        <f>Опросник!Q235</f>
        <v>6</v>
      </c>
      <c r="D89" s="32" t="s">
        <v>119</v>
      </c>
      <c r="E89" s="33">
        <f t="shared" si="3"/>
        <v>0</v>
      </c>
      <c r="F89" s="33">
        <f t="shared" si="4"/>
        <v>1</v>
      </c>
      <c r="G89" s="34">
        <f t="shared" si="5"/>
        <v>1</v>
      </c>
    </row>
    <row r="90" spans="2:7" x14ac:dyDescent="0.35">
      <c r="B90" s="30">
        <v>84</v>
      </c>
      <c r="C90" s="31">
        <f>Опросник!Q237</f>
        <v>4</v>
      </c>
      <c r="D90" s="32" t="s">
        <v>121</v>
      </c>
      <c r="E90" s="33">
        <f t="shared" si="3"/>
        <v>0</v>
      </c>
      <c r="F90" s="33">
        <f t="shared" si="4"/>
        <v>0</v>
      </c>
      <c r="G90" s="34">
        <f t="shared" si="5"/>
        <v>0</v>
      </c>
    </row>
    <row r="91" spans="2:7" x14ac:dyDescent="0.35">
      <c r="B91" s="30">
        <v>85</v>
      </c>
      <c r="C91" s="31">
        <f>Опросник!Q239</f>
        <v>4</v>
      </c>
      <c r="D91" s="32" t="s">
        <v>120</v>
      </c>
      <c r="E91" s="33">
        <f t="shared" si="3"/>
        <v>0</v>
      </c>
      <c r="F91" s="33">
        <f t="shared" si="4"/>
        <v>0</v>
      </c>
      <c r="G91" s="34">
        <f t="shared" si="5"/>
        <v>0</v>
      </c>
    </row>
    <row r="92" spans="2:7" x14ac:dyDescent="0.35">
      <c r="B92" s="30">
        <v>86</v>
      </c>
      <c r="C92" s="31">
        <f>Опросник!Q241</f>
        <v>3</v>
      </c>
      <c r="D92" s="32" t="s">
        <v>122</v>
      </c>
      <c r="E92" s="33">
        <f t="shared" si="3"/>
        <v>0</v>
      </c>
      <c r="F92" s="33">
        <f t="shared" si="4"/>
        <v>0</v>
      </c>
      <c r="G92" s="34">
        <f t="shared" si="5"/>
        <v>0</v>
      </c>
    </row>
    <row r="93" spans="2:7" x14ac:dyDescent="0.35">
      <c r="B93" s="30">
        <v>87</v>
      </c>
      <c r="C93" s="31">
        <f>Опросник!Q243</f>
        <v>4</v>
      </c>
      <c r="D93" s="32" t="s">
        <v>123</v>
      </c>
      <c r="E93" s="33">
        <f t="shared" si="3"/>
        <v>0</v>
      </c>
      <c r="F93" s="33">
        <f t="shared" si="4"/>
        <v>0</v>
      </c>
      <c r="G93" s="34">
        <f t="shared" si="5"/>
        <v>0</v>
      </c>
    </row>
    <row r="94" spans="2:7" x14ac:dyDescent="0.35">
      <c r="B94" s="30">
        <v>88</v>
      </c>
      <c r="C94" s="31">
        <f>Опросник!Q245</f>
        <v>3</v>
      </c>
      <c r="D94" s="32" t="s">
        <v>124</v>
      </c>
      <c r="E94" s="33">
        <f t="shared" si="3"/>
        <v>0</v>
      </c>
      <c r="F94" s="33">
        <f t="shared" si="4"/>
        <v>0</v>
      </c>
      <c r="G94" s="34">
        <f t="shared" si="5"/>
        <v>0</v>
      </c>
    </row>
    <row r="95" spans="2:7" x14ac:dyDescent="0.35">
      <c r="B95" s="30">
        <v>89</v>
      </c>
      <c r="C95" s="31">
        <f>Опросник!Q247</f>
        <v>3</v>
      </c>
      <c r="D95" s="32" t="s">
        <v>125</v>
      </c>
      <c r="E95" s="33">
        <f t="shared" si="3"/>
        <v>0</v>
      </c>
      <c r="F95" s="33">
        <f t="shared" si="4"/>
        <v>0</v>
      </c>
      <c r="G95" s="34">
        <f t="shared" si="5"/>
        <v>0</v>
      </c>
    </row>
    <row r="96" spans="2:7" x14ac:dyDescent="0.35">
      <c r="B96" s="30">
        <v>90</v>
      </c>
      <c r="C96" s="31">
        <f>Опросник!Q249</f>
        <v>1</v>
      </c>
      <c r="D96" s="32" t="s">
        <v>126</v>
      </c>
      <c r="E96" s="33">
        <f t="shared" si="3"/>
        <v>0</v>
      </c>
      <c r="F96" s="33">
        <f t="shared" si="4"/>
        <v>0</v>
      </c>
      <c r="G96" s="34">
        <f t="shared" si="5"/>
        <v>0</v>
      </c>
    </row>
    <row r="99" spans="2:12" x14ac:dyDescent="0.35">
      <c r="B99" s="23" t="s">
        <v>108</v>
      </c>
      <c r="C99" s="23" t="s">
        <v>128</v>
      </c>
      <c r="D99" s="23" t="s">
        <v>143</v>
      </c>
      <c r="E99" s="23" t="s">
        <v>127</v>
      </c>
      <c r="F99" s="23" t="s">
        <v>154</v>
      </c>
      <c r="G99" s="23" t="s">
        <v>155</v>
      </c>
      <c r="H99" s="23" t="s">
        <v>156</v>
      </c>
      <c r="J99" s="23" t="s">
        <v>144</v>
      </c>
      <c r="K99" s="23" t="s">
        <v>143</v>
      </c>
      <c r="L99" s="23" t="s">
        <v>127</v>
      </c>
    </row>
    <row r="100" spans="2:12" ht="40.15" customHeight="1" x14ac:dyDescent="0.35">
      <c r="B100" s="36" t="s">
        <v>142</v>
      </c>
      <c r="C100" s="27" t="s">
        <v>109</v>
      </c>
      <c r="D100" s="35">
        <f t="shared" ref="D100:D117" si="6">(C7+C25+C43+C61+C79)/5</f>
        <v>2.6</v>
      </c>
      <c r="E100" s="28">
        <f t="shared" ref="E100:E117" si="7">G7+G25+G43+G61+G79</f>
        <v>0</v>
      </c>
      <c r="F100" s="28">
        <f t="shared" ref="F100:F117" si="8">C7+C25+C43+C61+C79</f>
        <v>13</v>
      </c>
      <c r="G100" s="37">
        <f>(F100-5)/25*100%</f>
        <v>0.32</v>
      </c>
      <c r="H100" s="37" t="str">
        <f>IF(G100&lt;=20%,"низкий",IF(G100&lt;=40%,"пониженный",IF(G100&lt;=60%,"средний",IF(G100&lt;=80%,"повышенный","высокий"))))</f>
        <v>пониженный</v>
      </c>
      <c r="J100" s="36" t="s">
        <v>145</v>
      </c>
      <c r="K100" s="38">
        <f>(D100+D101+D102+D103+D104)/5</f>
        <v>3.0800000000000005</v>
      </c>
      <c r="L100" s="39">
        <f>E100+E101+E102+E103+E104</f>
        <v>2</v>
      </c>
    </row>
    <row r="101" spans="2:12" ht="43.15" customHeight="1" x14ac:dyDescent="0.35">
      <c r="B101" s="36" t="s">
        <v>141</v>
      </c>
      <c r="C101" s="27" t="s">
        <v>110</v>
      </c>
      <c r="D101" s="35">
        <f t="shared" si="6"/>
        <v>3.8</v>
      </c>
      <c r="E101" s="28">
        <f t="shared" si="7"/>
        <v>0</v>
      </c>
      <c r="F101" s="28">
        <f t="shared" si="8"/>
        <v>19</v>
      </c>
      <c r="G101" s="37">
        <f t="shared" ref="G101:G117" si="9">(F101-5)/25*100%</f>
        <v>0.56000000000000005</v>
      </c>
      <c r="H101" s="37" t="str">
        <f t="shared" ref="H101:H117" si="10">IF(G101&lt;=20%,"низкий",IF(G101&lt;=40%,"пониженный",IF(G101&lt;=60%,"средний",IF(G101&lt;=80%,"повышенный","высокий"))))</f>
        <v>средний</v>
      </c>
      <c r="J101" s="36" t="s">
        <v>146</v>
      </c>
      <c r="K101" s="34">
        <f>(D105+D106+D107+D108)/4</f>
        <v>2.75</v>
      </c>
      <c r="L101" s="39">
        <f>E105+E106+E107+E108</f>
        <v>0</v>
      </c>
    </row>
    <row r="102" spans="2:12" ht="26.5" customHeight="1" x14ac:dyDescent="0.35">
      <c r="B102" s="36" t="s">
        <v>140</v>
      </c>
      <c r="C102" s="27" t="s">
        <v>111</v>
      </c>
      <c r="D102" s="35">
        <f t="shared" si="6"/>
        <v>4</v>
      </c>
      <c r="E102" s="28">
        <f t="shared" si="7"/>
        <v>2</v>
      </c>
      <c r="F102" s="28">
        <f t="shared" si="8"/>
        <v>20</v>
      </c>
      <c r="G102" s="37">
        <f t="shared" si="9"/>
        <v>0.6</v>
      </c>
      <c r="H102" s="37" t="str">
        <f t="shared" si="10"/>
        <v>средний</v>
      </c>
      <c r="J102" s="36" t="s">
        <v>147</v>
      </c>
      <c r="K102" s="34">
        <f>(D113+D114)/2</f>
        <v>2.9000000000000004</v>
      </c>
      <c r="L102" s="39">
        <f>E113+E114</f>
        <v>0</v>
      </c>
    </row>
    <row r="103" spans="2:12" ht="28.15" customHeight="1" x14ac:dyDescent="0.35">
      <c r="B103" s="36" t="s">
        <v>139</v>
      </c>
      <c r="C103" s="27" t="s">
        <v>112</v>
      </c>
      <c r="D103" s="35">
        <f t="shared" si="6"/>
        <v>3.2</v>
      </c>
      <c r="E103" s="28">
        <f t="shared" si="7"/>
        <v>0</v>
      </c>
      <c r="F103" s="28">
        <f t="shared" si="8"/>
        <v>16</v>
      </c>
      <c r="G103" s="37">
        <f t="shared" si="9"/>
        <v>0.44</v>
      </c>
      <c r="H103" s="37" t="str">
        <f t="shared" si="10"/>
        <v>средний</v>
      </c>
      <c r="J103" s="36" t="s">
        <v>148</v>
      </c>
      <c r="K103" s="34">
        <f>(D109+D110+D115)/3</f>
        <v>3.1999999999999997</v>
      </c>
      <c r="L103" s="39">
        <f>E109+E110+E115</f>
        <v>2</v>
      </c>
    </row>
    <row r="104" spans="2:12" ht="34.15" customHeight="1" x14ac:dyDescent="0.35">
      <c r="B104" s="29" t="s">
        <v>130</v>
      </c>
      <c r="C104" s="27" t="s">
        <v>113</v>
      </c>
      <c r="D104" s="35">
        <f t="shared" si="6"/>
        <v>1.8</v>
      </c>
      <c r="E104" s="28">
        <f t="shared" si="7"/>
        <v>0</v>
      </c>
      <c r="F104" s="28">
        <f t="shared" si="8"/>
        <v>9</v>
      </c>
      <c r="G104" s="37">
        <f t="shared" si="9"/>
        <v>0.16</v>
      </c>
      <c r="H104" s="37" t="str">
        <f t="shared" si="10"/>
        <v>низкий</v>
      </c>
      <c r="J104" s="36" t="s">
        <v>149</v>
      </c>
      <c r="K104" s="34">
        <f>(D111+D112+D116+D117)/4</f>
        <v>3.5</v>
      </c>
      <c r="L104" s="39">
        <f>E111+E112+E116+E117</f>
        <v>2</v>
      </c>
    </row>
    <row r="105" spans="2:12" ht="30.65" customHeight="1" x14ac:dyDescent="0.35">
      <c r="B105" s="29" t="s">
        <v>131</v>
      </c>
      <c r="C105" s="27" t="s">
        <v>114</v>
      </c>
      <c r="D105" s="35">
        <f t="shared" si="6"/>
        <v>1.8</v>
      </c>
      <c r="E105" s="28">
        <f t="shared" si="7"/>
        <v>0</v>
      </c>
      <c r="F105" s="28">
        <f t="shared" si="8"/>
        <v>9</v>
      </c>
      <c r="G105" s="37">
        <f t="shared" si="9"/>
        <v>0.16</v>
      </c>
      <c r="H105" s="37" t="str">
        <f t="shared" si="10"/>
        <v>низкий</v>
      </c>
    </row>
    <row r="106" spans="2:12" ht="30.65" customHeight="1" x14ac:dyDescent="0.35">
      <c r="B106" s="29" t="s">
        <v>138</v>
      </c>
      <c r="C106" s="27" t="s">
        <v>115</v>
      </c>
      <c r="D106" s="35">
        <f t="shared" si="6"/>
        <v>2.4</v>
      </c>
      <c r="E106" s="28">
        <f t="shared" si="7"/>
        <v>0</v>
      </c>
      <c r="F106" s="28">
        <f t="shared" si="8"/>
        <v>12</v>
      </c>
      <c r="G106" s="37">
        <f t="shared" si="9"/>
        <v>0.28000000000000003</v>
      </c>
      <c r="H106" s="37" t="str">
        <f t="shared" si="10"/>
        <v>пониженный</v>
      </c>
    </row>
    <row r="107" spans="2:12" ht="36" customHeight="1" x14ac:dyDescent="0.35">
      <c r="B107" s="29" t="s">
        <v>137</v>
      </c>
      <c r="C107" s="27" t="s">
        <v>116</v>
      </c>
      <c r="D107" s="35">
        <f t="shared" si="6"/>
        <v>3.8</v>
      </c>
      <c r="E107" s="28">
        <f t="shared" si="7"/>
        <v>0</v>
      </c>
      <c r="F107" s="28">
        <f t="shared" si="8"/>
        <v>19</v>
      </c>
      <c r="G107" s="37">
        <f t="shared" si="9"/>
        <v>0.56000000000000005</v>
      </c>
      <c r="H107" s="37" t="str">
        <f t="shared" si="10"/>
        <v>средний</v>
      </c>
    </row>
    <row r="108" spans="2:12" ht="28.15" customHeight="1" x14ac:dyDescent="0.35">
      <c r="B108" s="29" t="s">
        <v>136</v>
      </c>
      <c r="C108" s="27" t="s">
        <v>117</v>
      </c>
      <c r="D108" s="35">
        <f t="shared" si="6"/>
        <v>3</v>
      </c>
      <c r="E108" s="28">
        <f t="shared" si="7"/>
        <v>0</v>
      </c>
      <c r="F108" s="28">
        <f t="shared" si="8"/>
        <v>15</v>
      </c>
      <c r="G108" s="37">
        <f t="shared" si="9"/>
        <v>0.4</v>
      </c>
      <c r="H108" s="37" t="str">
        <f t="shared" si="10"/>
        <v>пониженный</v>
      </c>
    </row>
    <row r="109" spans="2:12" ht="22.9" customHeight="1" x14ac:dyDescent="0.35">
      <c r="B109" s="29" t="s">
        <v>135</v>
      </c>
      <c r="C109" s="27" t="s">
        <v>118</v>
      </c>
      <c r="D109" s="35">
        <f t="shared" si="6"/>
        <v>2.8</v>
      </c>
      <c r="E109" s="28">
        <f t="shared" si="7"/>
        <v>1</v>
      </c>
      <c r="F109" s="28">
        <f t="shared" si="8"/>
        <v>14</v>
      </c>
      <c r="G109" s="37">
        <f t="shared" si="9"/>
        <v>0.36</v>
      </c>
      <c r="H109" s="37" t="str">
        <f t="shared" si="10"/>
        <v>пониженный</v>
      </c>
    </row>
    <row r="110" spans="2:12" ht="24.65" customHeight="1" x14ac:dyDescent="0.35">
      <c r="B110" s="29" t="s">
        <v>134</v>
      </c>
      <c r="C110" s="27" t="s">
        <v>119</v>
      </c>
      <c r="D110" s="35">
        <f t="shared" si="6"/>
        <v>4</v>
      </c>
      <c r="E110" s="28">
        <f t="shared" si="7"/>
        <v>1</v>
      </c>
      <c r="F110" s="28">
        <f t="shared" si="8"/>
        <v>20</v>
      </c>
      <c r="G110" s="37">
        <f t="shared" si="9"/>
        <v>0.6</v>
      </c>
      <c r="H110" s="37" t="str">
        <f t="shared" si="10"/>
        <v>средний</v>
      </c>
    </row>
    <row r="111" spans="2:12" ht="24" customHeight="1" x14ac:dyDescent="0.35">
      <c r="B111" s="29" t="s">
        <v>150</v>
      </c>
      <c r="C111" s="27" t="s">
        <v>121</v>
      </c>
      <c r="D111" s="35">
        <f t="shared" si="6"/>
        <v>3.2</v>
      </c>
      <c r="E111" s="28">
        <f t="shared" si="7"/>
        <v>0</v>
      </c>
      <c r="F111" s="28">
        <f t="shared" si="8"/>
        <v>16</v>
      </c>
      <c r="G111" s="37">
        <f t="shared" si="9"/>
        <v>0.44</v>
      </c>
      <c r="H111" s="37" t="str">
        <f t="shared" si="10"/>
        <v>средний</v>
      </c>
    </row>
    <row r="112" spans="2:12" ht="25" x14ac:dyDescent="0.35">
      <c r="B112" s="29" t="s">
        <v>153</v>
      </c>
      <c r="C112" s="27" t="s">
        <v>120</v>
      </c>
      <c r="D112" s="35">
        <f t="shared" si="6"/>
        <v>4.2</v>
      </c>
      <c r="E112" s="28">
        <f t="shared" si="7"/>
        <v>1</v>
      </c>
      <c r="F112" s="28">
        <f t="shared" si="8"/>
        <v>21</v>
      </c>
      <c r="G112" s="37">
        <f t="shared" si="9"/>
        <v>0.64</v>
      </c>
      <c r="H112" s="37" t="str">
        <f t="shared" si="10"/>
        <v>повышенный</v>
      </c>
    </row>
    <row r="113" spans="2:8" ht="25" x14ac:dyDescent="0.35">
      <c r="B113" s="29" t="s">
        <v>133</v>
      </c>
      <c r="C113" s="27" t="s">
        <v>122</v>
      </c>
      <c r="D113" s="35">
        <f t="shared" si="6"/>
        <v>2.6</v>
      </c>
      <c r="E113" s="28">
        <f t="shared" si="7"/>
        <v>0</v>
      </c>
      <c r="F113" s="28">
        <f t="shared" si="8"/>
        <v>13</v>
      </c>
      <c r="G113" s="37">
        <f t="shared" si="9"/>
        <v>0.32</v>
      </c>
      <c r="H113" s="37" t="str">
        <f t="shared" si="10"/>
        <v>пониженный</v>
      </c>
    </row>
    <row r="114" spans="2:8" ht="25.5" x14ac:dyDescent="0.35">
      <c r="B114" s="29" t="s">
        <v>132</v>
      </c>
      <c r="C114" s="27" t="s">
        <v>123</v>
      </c>
      <c r="D114" s="35">
        <f t="shared" si="6"/>
        <v>3.2</v>
      </c>
      <c r="E114" s="28">
        <f t="shared" si="7"/>
        <v>0</v>
      </c>
      <c r="F114" s="28">
        <f t="shared" si="8"/>
        <v>16</v>
      </c>
      <c r="G114" s="37">
        <f t="shared" si="9"/>
        <v>0.44</v>
      </c>
      <c r="H114" s="37" t="str">
        <f t="shared" si="10"/>
        <v>средний</v>
      </c>
    </row>
    <row r="115" spans="2:8" ht="18" customHeight="1" x14ac:dyDescent="0.35">
      <c r="B115" s="29" t="s">
        <v>129</v>
      </c>
      <c r="C115" s="27" t="s">
        <v>124</v>
      </c>
      <c r="D115" s="35">
        <f t="shared" si="6"/>
        <v>2.8</v>
      </c>
      <c r="E115" s="28">
        <f t="shared" si="7"/>
        <v>0</v>
      </c>
      <c r="F115" s="28">
        <f t="shared" si="8"/>
        <v>14</v>
      </c>
      <c r="G115" s="37">
        <f t="shared" si="9"/>
        <v>0.36</v>
      </c>
      <c r="H115" s="37" t="str">
        <f t="shared" si="10"/>
        <v>пониженный</v>
      </c>
    </row>
    <row r="116" spans="2:8" ht="18.649999999999999" customHeight="1" x14ac:dyDescent="0.35">
      <c r="B116" s="29" t="s">
        <v>151</v>
      </c>
      <c r="C116" s="27" t="s">
        <v>125</v>
      </c>
      <c r="D116" s="35">
        <f t="shared" si="6"/>
        <v>3.8</v>
      </c>
      <c r="E116" s="28">
        <f t="shared" si="7"/>
        <v>1</v>
      </c>
      <c r="F116" s="28">
        <f t="shared" si="8"/>
        <v>19</v>
      </c>
      <c r="G116" s="37">
        <f t="shared" si="9"/>
        <v>0.56000000000000005</v>
      </c>
      <c r="H116" s="37" t="str">
        <f t="shared" si="10"/>
        <v>средний</v>
      </c>
    </row>
    <row r="117" spans="2:8" ht="25" x14ac:dyDescent="0.35">
      <c r="B117" s="29" t="s">
        <v>152</v>
      </c>
      <c r="C117" s="27" t="s">
        <v>126</v>
      </c>
      <c r="D117" s="35">
        <f t="shared" si="6"/>
        <v>2.8</v>
      </c>
      <c r="E117" s="28">
        <f t="shared" si="7"/>
        <v>0</v>
      </c>
      <c r="F117" s="28">
        <f t="shared" si="8"/>
        <v>14</v>
      </c>
      <c r="G117" s="37">
        <f t="shared" si="9"/>
        <v>0.36</v>
      </c>
      <c r="H117" s="37" t="str">
        <f t="shared" si="10"/>
        <v>пониженный</v>
      </c>
    </row>
    <row r="118" spans="2:8" ht="15" x14ac:dyDescent="0.35">
      <c r="B118" s="25"/>
      <c r="C118" s="26"/>
      <c r="D118" s="26"/>
      <c r="E118" s="26"/>
    </row>
    <row r="119" spans="2:8" x14ac:dyDescent="0.35">
      <c r="B119" s="26"/>
      <c r="C119" s="26"/>
      <c r="D119" s="26"/>
      <c r="E119" s="26"/>
    </row>
    <row r="120" spans="2:8" ht="15" x14ac:dyDescent="0.35">
      <c r="B120" s="25"/>
      <c r="C120" s="26"/>
      <c r="D120" s="26"/>
      <c r="E120" s="26"/>
    </row>
    <row r="121" spans="2:8" x14ac:dyDescent="0.35">
      <c r="B121" s="26"/>
      <c r="C121" s="26"/>
      <c r="D121" s="26"/>
      <c r="E121" s="26"/>
    </row>
  </sheetData>
  <mergeCells count="2">
    <mergeCell ref="C2:E2"/>
    <mergeCell ref="C4:E4"/>
  </mergeCells>
  <phoneticPr fontId="13" type="noConversion"/>
  <conditionalFormatting sqref="D100:D11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7">
    <cfRule type="containsText" dxfId="4" priority="3" operator="containsText" text="низкий">
      <formula>NOT(ISERROR(SEARCH("низкий",H100)))</formula>
    </cfRule>
    <cfRule type="containsText" dxfId="3" priority="4" operator="containsText" text="пониженный">
      <formula>NOT(ISERROR(SEARCH("пониженный",H100)))</formula>
    </cfRule>
    <cfRule type="containsText" dxfId="2" priority="5" operator="containsText" text="средний">
      <formula>NOT(ISERROR(SEARCH("средний",H100)))</formula>
    </cfRule>
    <cfRule type="containsText" dxfId="1" priority="6" operator="containsText" text="высокий">
      <formula>NOT(ISERROR(SEARCH("высокий",H100)))</formula>
    </cfRule>
    <cfRule type="containsText" dxfId="0" priority="7" operator="containsText" text="повышенный">
      <formula>NOT(ISERROR(SEARCH("повышенный",H100)))</formula>
    </cfRule>
  </conditionalFormatting>
  <conditionalFormatting sqref="K100:K10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0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Опросник</vt:lpstr>
      <vt:lpstr>Результаты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Illia Yarshou</cp:lastModifiedBy>
  <dcterms:created xsi:type="dcterms:W3CDTF">2020-04-16T06:05:54Z</dcterms:created>
  <dcterms:modified xsi:type="dcterms:W3CDTF">2026-03-31T08:03:15Z</dcterms:modified>
</cp:coreProperties>
</file>