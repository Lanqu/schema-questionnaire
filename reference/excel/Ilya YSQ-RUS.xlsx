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Опросник" sheetId="1" state="visible" r:id="rId1"/>
    <sheet name="Результаты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family val="2"/>
      <b val="1"/>
      <color indexed="9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charset val="204"/>
      <family val="2"/>
      <sz val="11"/>
    </font>
    <font>
      <name val="Arial"/>
      <family val="2"/>
      <b val="1"/>
      <color theme="0"/>
      <sz val="11"/>
    </font>
    <font>
      <name val="Arial"/>
      <charset val="204"/>
      <family val="2"/>
      <color theme="1"/>
      <sz val="11"/>
    </font>
    <font>
      <name val="Arial"/>
      <charset val="204"/>
      <family val="2"/>
      <b val="1"/>
      <color theme="1"/>
      <sz val="11"/>
    </font>
    <font>
      <name val="Arial"/>
      <charset val="204"/>
      <family val="2"/>
      <b val="1"/>
      <sz val="11"/>
    </font>
    <font>
      <name val="Arial"/>
      <charset val="204"/>
      <family val="2"/>
      <b val="1"/>
      <color theme="0"/>
      <sz val="11"/>
    </font>
    <font>
      <name val="Arial Black"/>
      <charset val="204"/>
      <family val="2"/>
      <color theme="1"/>
      <sz val="12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b val="1"/>
      <i val="1"/>
      <color theme="0"/>
      <sz val="11"/>
    </font>
    <font>
      <name val="Calibri"/>
      <charset val="204"/>
      <family val="2"/>
      <sz val="8"/>
      <scheme val="minor"/>
    </font>
    <font>
      <name val="Arial"/>
      <charset val="204"/>
      <family val="2"/>
      <b val="1"/>
      <i val="1"/>
      <sz val="11"/>
    </font>
    <font>
      <name val="Times New Roman"/>
      <charset val="204"/>
      <family val="1"/>
      <i val="1"/>
      <color rgb="FF000000"/>
      <sz val="11.5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i val="1"/>
      <color rgb="FF000000"/>
      <sz val="10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color theme="0"/>
      <sz val="10"/>
      <scheme val="minor"/>
    </font>
  </fonts>
  <fills count="5">
    <fill>
      <patternFill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5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49" fontId="4" fillId="0" borderId="0" applyAlignment="1" pivotButton="0" quotePrefix="0" xfId="0">
      <alignment horizontal="left"/>
    </xf>
    <xf numFmtId="0" fontId="2" fillId="2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10" fillId="4" borderId="0" applyAlignment="1" pivotButton="0" quotePrefix="0" xfId="0">
      <alignment horizontal="left" vertical="top"/>
    </xf>
    <xf numFmtId="0" fontId="10" fillId="4" borderId="0" pivotButton="0" quotePrefix="0" xfId="0"/>
    <xf numFmtId="0" fontId="10" fillId="4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/>
    </xf>
    <xf numFmtId="0" fontId="4" fillId="4" borderId="0" applyAlignment="1" pivotButton="0" quotePrefix="0" xfId="0">
      <alignment vertical="top" wrapText="1"/>
    </xf>
    <xf numFmtId="0" fontId="0" fillId="4" borderId="0" pivotButton="0" quotePrefix="0" xfId="0"/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10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vertical="center"/>
    </xf>
    <xf numFmtId="1" fontId="10" fillId="0" borderId="0" applyAlignment="1" pivotButton="0" quotePrefix="0" xfId="0">
      <alignment horizontal="center" vertical="center"/>
    </xf>
    <xf numFmtId="1" fontId="10" fillId="4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/>
    </xf>
    <xf numFmtId="0" fontId="15" fillId="4" borderId="0" applyAlignment="1" pivotButton="0" quotePrefix="0" xfId="0">
      <alignment horizontal="center"/>
    </xf>
    <xf numFmtId="0" fontId="16" fillId="0" borderId="0" applyAlignment="1" pivotButton="0" quotePrefix="0" xfId="0">
      <alignment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/>
    </xf>
    <xf numFmtId="1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horizontal="center"/>
    </xf>
    <xf numFmtId="1" fontId="20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21" fillId="0" borderId="1" pivotButton="0" quotePrefix="0" xfId="0"/>
    <xf numFmtId="0" fontId="20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9" fontId="17" fillId="0" borderId="1" applyAlignment="1" pivotButton="0" quotePrefix="0" xfId="1">
      <alignment horizontal="center" vertical="center"/>
    </xf>
    <xf numFmtId="164" fontId="20" fillId="0" borderId="1" applyAlignment="1" pivotButton="0" quotePrefix="0" xfId="0">
      <alignment horizontal="center" vertical="center"/>
    </xf>
    <xf numFmtId="1" fontId="2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" fontId="3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center"/>
    </xf>
    <xf numFmtId="14" fontId="10" fillId="4" borderId="0" applyAlignment="1" pivotButton="0" quotePrefix="0" xfId="0">
      <alignment horizontal="center"/>
    </xf>
  </cellXfs>
  <cellStyles count="2">
    <cellStyle name="Обычный" xfId="0" builtinId="0"/>
    <cellStyle name="Процентный" xfId="1" builtinId="5"/>
  </cellStyles>
  <dxfs count="5">
    <dxf>
      <fill>
        <patternFill>
          <bgColor rgb="FF4EB26D"/>
        </patternFill>
      </fill>
    </dxf>
    <dxf>
      <fill>
        <patternFill>
          <bgColor rgb="FFB9C668"/>
        </patternFill>
      </fill>
    </dxf>
    <dxf>
      <fill>
        <patternFill>
          <bgColor rgb="FFE0C562"/>
        </patternFill>
      </fill>
    </dxf>
    <dxf>
      <fill>
        <patternFill>
          <bgColor rgb="FFE75F5F"/>
        </patternFill>
      </fill>
    </dxf>
    <dxf>
      <font>
        <color auto="1"/>
      </font>
      <fill>
        <patternFill>
          <bgColor rgb="FFE5936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Общий балл для каждой схемы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rgbClr val="9A81B9"/>
            </a:solidFill>
            <a:ln>
              <a:noFill/>
              <a:prstDash val="solid"/>
            </a:ln>
          </spPr>
          <invertIfNegative val="0"/>
          <cat>
            <strRef>
              <f>Результаты!$B$100:$B$117</f>
              <strCache>
                <ptCount val="18"/>
                <pt idx="0">
                  <v>1. Эмоциональная депривация (РСО)</v>
                </pt>
                <pt idx="1">
                  <v>2. Покинутость / нестабильность (РСО)</v>
                </pt>
                <pt idx="2">
                  <v>3. Недоверие / насилие (РСО)</v>
                </pt>
                <pt idx="3">
                  <v>4. Социальная изоляция/ отчуждение (РСО)</v>
                </pt>
                <pt idx="4">
                  <v>5. Дефективность / стыд (РСО)</v>
                </pt>
                <pt idx="5">
                  <v>6. Неуспешность / обреченность на неудачу (НЛАНД)</v>
                </pt>
                <pt idx="6">
                  <v>7. Зависимость / некомпетентность (НЛАНД)</v>
                </pt>
                <pt idx="7">
                  <v>8. Уязвимость (перед физическим вредом или болезнями) (НЛАНД)</v>
                </pt>
                <pt idx="8">
                  <v>9. Слитность с другими / неразвитое Я (НЛАНД)</v>
                </pt>
                <pt idx="9">
                  <v>10. Покорность / подчинение (НД)</v>
                </pt>
                <pt idx="10">
                  <v>11. Самопожертвование (НД)</v>
                </pt>
                <pt idx="11">
                  <v>12. Подавление эмоций (СбП)</v>
                </pt>
                <pt idx="12">
                  <v>13. Жёсткие стандарты / завышенные требования к себе (СбП)</v>
                </pt>
                <pt idx="13">
                  <v>14. Привилегированность / грандиозность (НГ)</v>
                </pt>
                <pt idx="14">
                  <v xml:space="preserve">15. Недостаток самоконтроля / самодисциплины (НГ)  </v>
                </pt>
                <pt idx="15">
                  <v>16. Поиск одобрения (НД)</v>
                </pt>
                <pt idx="16">
                  <v>17. Негативизм / пессимизм (СбП)</v>
                </pt>
                <pt idx="17">
                  <v>18. Пунитивность / карательность (СбП)</v>
                </pt>
              </strCache>
            </strRef>
          </cat>
          <val>
            <numRef>
              <f>Результаты!$F$100:$F$117</f>
              <numCache>
                <formatCode>0</formatCode>
                <ptCount val="1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0"/>
        <axId val="200636768"/>
        <axId val="200636376"/>
      </barChart>
      <catAx>
        <axId val="200636768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200636376"/>
        <crosses val="autoZero"/>
        <auto val="1"/>
        <lblAlgn val="ctr"/>
        <lblOffset val="100"/>
        <noMultiLvlLbl val="0"/>
      </catAx>
      <valAx>
        <axId val="200636376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20063676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 xml:space="preserve"> балл для каждой группы схем</a:t>
            </a:r>
            <a:endParaRPr lang="ru-RU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5026025450345208"/>
          <y val="0.273312429185425"/>
          <w val="0.463333682494317"/>
          <h val="0.6705781280813503"/>
        </manualLayout>
      </layout>
      <barChart>
        <barDir val="bar"/>
        <grouping val="clustered"/>
        <varyColors val="0"/>
        <ser>
          <idx val="0"/>
          <order val="0"/>
          <spPr>
            <a:solidFill>
              <a:srgbClr val="4394D1"/>
            </a:solidFill>
            <a:ln>
              <a:noFill/>
              <a:prstDash val="solid"/>
            </a:ln>
          </spPr>
          <invertIfNegative val="0"/>
          <cat>
            <strRef>
              <f>Результаты!$J$100:$J$104</f>
              <strCache>
                <ptCount val="5"/>
                <pt idx="0">
                  <v>Разобщенность и отвержение (РСО)</v>
                </pt>
                <pt idx="1">
                  <v>Нарушение личностной автономии и непризнание достижений (НЛАНД)</v>
                </pt>
                <pt idx="2">
                  <v>Нарушенные границы (НГ)</v>
                </pt>
                <pt idx="3">
                  <v>Направленность на других (НД)</v>
                </pt>
                <pt idx="4">
                  <v>Сверхбдительность и подавление (СбП)</v>
                </pt>
              </strCache>
            </strRef>
          </cat>
          <val>
            <numRef>
              <f>Результаты!$K$100:$K$104</f>
              <numCache>
                <formatCode>General</formatCode>
                <ptCount val="5"/>
                <pt idx="0">
                  <formatCode>0.0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6"/>
        <axId val="200634024"/>
        <axId val="200637160"/>
      </barChart>
      <catAx>
        <axId val="200634024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200637160"/>
        <crosses val="autoZero"/>
        <auto val="1"/>
        <lblAlgn val="ctr"/>
        <lblOffset val="100"/>
        <noMultiLvlLbl val="0"/>
      </catAx>
      <valAx>
        <axId val="200637160"/>
        <scaling>
          <orientation val="minMax"/>
          <max val="6"/>
          <min val="1"/>
        </scaling>
        <delete val="0"/>
        <axPos val="t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200634024"/>
        <crosses val="autoZero"/>
        <crossBetween val="between"/>
        <majorUnit val="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 xml:space="preserve"> 5-к и 6-к для каждой схемы</a:t>
            </a:r>
            <a:endParaRPr lang="ru-RU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4375954866866132"/>
          <y val="0.1430804409190544"/>
          <w val="0.5183353573200069"/>
          <h val="0.8275459816336292"/>
        </manualLayout>
      </layout>
      <barChart>
        <barDir val="bar"/>
        <grouping val="clustered"/>
        <varyColors val="0"/>
        <ser>
          <idx val="0"/>
          <order val="0"/>
          <spPr>
            <a:solidFill>
              <a:srgbClr val="90C7E0"/>
            </a:solidFill>
            <a:ln>
              <a:noFill/>
              <a:prstDash val="solid"/>
            </a:ln>
          </spPr>
          <invertIfNegative val="0"/>
          <cat>
            <strRef>
              <f>Результаты!$B$100:$B$117</f>
              <strCache>
                <ptCount val="18"/>
                <pt idx="0">
                  <v>1. Эмоциональная депривация (РСО)</v>
                </pt>
                <pt idx="1">
                  <v>2. Покинутость / нестабильность (РСО)</v>
                </pt>
                <pt idx="2">
                  <v>3. Недоверие / насилие (РСО)</v>
                </pt>
                <pt idx="3">
                  <v>4. Социальная изоляция/ отчуждение (РСО)</v>
                </pt>
                <pt idx="4">
                  <v>5. Дефективность / стыд (РСО)</v>
                </pt>
                <pt idx="5">
                  <v>6. Неуспешность / обреченность на неудачу (НЛАНД)</v>
                </pt>
                <pt idx="6">
                  <v>7. Зависимость / некомпетентность (НЛАНД)</v>
                </pt>
                <pt idx="7">
                  <v>8. Уязвимость (перед физическим вредом или болезнями) (НЛАНД)</v>
                </pt>
                <pt idx="8">
                  <v>9. Слитность с другими / неразвитое Я (НЛАНД)</v>
                </pt>
                <pt idx="9">
                  <v>10. Покорность / подчинение (НД)</v>
                </pt>
                <pt idx="10">
                  <v>11. Самопожертвование (НД)</v>
                </pt>
                <pt idx="11">
                  <v>12. Подавление эмоций (СбП)</v>
                </pt>
                <pt idx="12">
                  <v>13. Жёсткие стандарты / завышенные требования к себе (СбП)</v>
                </pt>
                <pt idx="13">
                  <v>14. Привилегированность / грандиозность (НГ)</v>
                </pt>
                <pt idx="14">
                  <v xml:space="preserve">15. Недостаток самоконтроля / самодисциплины (НГ)  </v>
                </pt>
                <pt idx="15">
                  <v>16. Поиск одобрения (НД)</v>
                </pt>
                <pt idx="16">
                  <v>17. Негативизм / пессимизм (СбП)</v>
                </pt>
                <pt idx="17">
                  <v>18. Пунитивность / карательность (СбП)</v>
                </pt>
              </strCache>
            </strRef>
          </cat>
          <val>
            <numRef>
              <f>Результаты!$E$100:$E$117</f>
              <numCache>
                <formatCode>0</formatCode>
                <ptCount val="1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0"/>
        <axId val="200629712"/>
        <axId val="200630496"/>
      </barChart>
      <catAx>
        <axId val="200629712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200630496"/>
        <crosses val="autoZero"/>
        <auto val="1"/>
        <lblAlgn val="ctr"/>
        <lblOffset val="100"/>
        <noMultiLvlLbl val="0"/>
      </catAx>
      <valAx>
        <axId val="200630496"/>
        <scaling>
          <orientation val="minMax"/>
          <max val="5"/>
        </scaling>
        <delete val="0"/>
        <axPos val="t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200629712"/>
        <crosses val="autoZero"/>
        <crossBetween val="between"/>
        <majorUnit val="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5860</colOff>
      <row>119</row>
      <rowOff>5862</rowOff>
    </from>
    <to>
      <col>8</col>
      <colOff>0</colOff>
      <row>145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2</colOff>
      <row>146</row>
      <rowOff>2</rowOff>
    </from>
    <to>
      <col>7</col>
      <colOff>679174</colOff>
      <row>159</row>
      <rowOff>120952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8</col>
      <colOff>542638</colOff>
      <row>119</row>
      <rowOff>34636</rowOff>
    </from>
    <to>
      <col>14</col>
      <colOff>1236369</colOff>
      <row>145</row>
      <rowOff>36394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showGridLines="0" tabSelected="1" topLeftCell="A26" zoomScale="97" workbookViewId="0">
      <selection activeCell="J11" sqref="J11"/>
    </sheetView>
  </sheetViews>
  <sheetFormatPr baseColWidth="8" defaultRowHeight="14.5"/>
  <cols>
    <col width="17.54296875" customWidth="1" style="31" min="2" max="2"/>
    <col width="14.7265625" bestFit="1" customWidth="1" style="31" min="7" max="7"/>
    <col width="6.26953125" customWidth="1" style="31" min="9" max="9"/>
    <col width="21.26953125" customWidth="1" style="31" min="16" max="16"/>
    <col width="12.453125" customWidth="1" style="31" min="17" max="17"/>
  </cols>
  <sheetData>
    <row r="1"/>
    <row r="2">
      <c r="B2" s="7" t="inlineStr">
        <is>
          <t>Имя:</t>
        </is>
      </c>
      <c r="E2" s="45" t="n"/>
      <c r="J2" s="7" t="inlineStr">
        <is>
          <t>Пол:</t>
        </is>
      </c>
      <c r="M2" s="45" t="n"/>
      <c r="R2" s="1" t="n"/>
    </row>
    <row r="3" ht="7.9" customHeight="1" s="31">
      <c r="B3" s="2" t="n"/>
      <c r="C3" s="3" t="n"/>
      <c r="D3" s="3" t="n"/>
      <c r="E3" s="4" t="n"/>
      <c r="F3" s="4" t="n"/>
      <c r="G3" s="4" t="n"/>
      <c r="H3" s="4" t="n"/>
      <c r="R3" s="1" t="n"/>
    </row>
    <row r="4">
      <c r="B4" s="7" t="inlineStr">
        <is>
          <t>Возраст:</t>
        </is>
      </c>
      <c r="E4" s="49" t="n"/>
      <c r="R4" s="1" t="n"/>
    </row>
    <row r="5" ht="7.9" customHeight="1" s="31">
      <c r="B5" s="2" t="n"/>
      <c r="C5" s="3" t="n"/>
      <c r="D5" s="3" t="n"/>
      <c r="E5" s="4" t="n"/>
      <c r="F5" s="4" t="n"/>
      <c r="G5" s="4" t="n"/>
      <c r="H5" s="4" t="n"/>
      <c r="R5" s="1" t="n"/>
    </row>
    <row r="6">
      <c r="B6" s="10" t="inlineStr">
        <is>
          <t>Образование:</t>
        </is>
      </c>
      <c r="E6" s="45" t="n"/>
      <c r="Q6" s="5" t="n"/>
      <c r="R6" s="1" t="n"/>
    </row>
    <row r="7" ht="7.9" customHeight="1" s="31">
      <c r="B7" s="2" t="n"/>
      <c r="E7" s="4" t="n"/>
      <c r="F7" s="4" t="n"/>
      <c r="G7" s="4" t="n"/>
      <c r="H7" s="4" t="n"/>
      <c r="R7" s="1" t="n"/>
    </row>
    <row r="8">
      <c r="B8" s="7" t="inlineStr">
        <is>
          <t>Дата:</t>
        </is>
      </c>
      <c r="E8" s="50" t="n"/>
      <c r="R8" s="1" t="n"/>
    </row>
    <row r="9" ht="16.15" customHeight="1" s="31">
      <c r="B9" s="6" t="n"/>
      <c r="R9" s="1" t="n"/>
    </row>
    <row r="10" ht="16.15" customHeight="1" s="31">
      <c r="B10" s="13" t="inlineStr">
        <is>
          <t>Инструкция:</t>
        </is>
      </c>
    </row>
    <row r="11">
      <c r="M11" s="9" t="n"/>
      <c r="N11" s="9" t="n"/>
      <c r="O11" s="9" t="n"/>
      <c r="P11" s="9" t="n"/>
      <c r="Q11" s="9" t="n"/>
      <c r="R11" s="9" t="n"/>
    </row>
    <row r="12" ht="59.5" customHeight="1" s="31">
      <c r="B12" s="51" t="inlineStr">
        <is>
          <t>Ниже перечислены утверждения, с помощью которых Вы можете описать себя. Пожалуйста, прочитайте каждое утверждение и решите, насколько точно оно Вас характеризует. Если Вы не уверены, как ответить, основывайте свой ответ на том, как Вы ЧУВСТВУЕТЕ, а не на том, что Вы считаете правильным.</t>
        </is>
      </c>
      <c r="I12" s="11" t="n"/>
    </row>
    <row r="13" ht="14.5" customHeight="1" s="31"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 ht="29.5" customHeight="1" s="31">
      <c r="B14" s="52" t="inlineStr">
        <is>
          <t>Выберите подходящий вариант ответа и поставьте соответсвующий номер напротив утверждения.</t>
        </is>
      </c>
      <c r="I14" s="11" t="n"/>
    </row>
    <row r="15" ht="13.9" customHeight="1" s="31"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 ht="14.5" customHeight="1" s="31">
      <c r="B16" s="14" t="inlineStr">
        <is>
          <t>1 = Абсолютно не соответствует</t>
        </is>
      </c>
      <c r="C16" s="15" t="n"/>
      <c r="D16" s="16" t="n"/>
      <c r="E16" s="16" t="n"/>
      <c r="F16" s="14" t="inlineStr">
        <is>
          <t>4 = В общем, соответствует</t>
        </is>
      </c>
      <c r="G16" s="16" t="n"/>
      <c r="H16" s="16" t="n"/>
      <c r="I16" s="18" t="n"/>
    </row>
    <row r="17">
      <c r="B17" s="17" t="inlineStr">
        <is>
          <t>2 = По большей части не соответствует</t>
        </is>
      </c>
      <c r="C17" s="15" t="n"/>
      <c r="D17" s="17" t="n"/>
      <c r="E17" s="17" t="n"/>
      <c r="F17" s="17" t="inlineStr">
        <is>
          <t>5 = По большей части соотвествует</t>
        </is>
      </c>
      <c r="G17" s="17" t="n"/>
      <c r="H17" s="17" t="n"/>
      <c r="I17" s="19" t="n"/>
    </row>
    <row r="18">
      <c r="B18" s="17" t="inlineStr">
        <is>
          <t>3 = Скорее соответствует, чем нет</t>
        </is>
      </c>
      <c r="C18" s="15" t="n"/>
      <c r="D18" s="17" t="n"/>
      <c r="E18" s="17" t="n"/>
      <c r="F18" s="17" t="inlineStr">
        <is>
          <t>6 = Полностью соответствует</t>
        </is>
      </c>
      <c r="G18" s="17" t="n"/>
      <c r="H18" s="17" t="n"/>
      <c r="I18" s="19" t="n"/>
    </row>
    <row r="19"/>
    <row r="20">
      <c r="B20" s="24" t="inlineStr">
        <is>
          <t>Утверждение:</t>
        </is>
      </c>
      <c r="Q20" s="23" t="inlineStr">
        <is>
          <t>Балл</t>
        </is>
      </c>
    </row>
    <row r="21">
      <c r="Q21" s="25" t="n"/>
    </row>
    <row r="22">
      <c r="B22" s="20" t="inlineStr">
        <is>
          <t>1. Рядом со мной не было человека, который бы обо мне заботился, проявлял участие и искренний интерес ко всему, что происходило со мной</t>
        </is>
      </c>
      <c r="C22" s="12" t="n"/>
      <c r="D22" s="12" t="n"/>
      <c r="Q22" s="26" t="n">
        <v>4</v>
      </c>
    </row>
    <row r="23">
      <c r="B23" s="12" t="n"/>
      <c r="C23" s="12" t="n"/>
      <c r="D23" s="12" t="n"/>
      <c r="Q23" s="25" t="n"/>
    </row>
    <row r="24">
      <c r="B24" s="20" t="inlineStr">
        <is>
          <t>2. Я «цепляюсь» за близких мне людей, так как боюсь, что они меня покинут</t>
        </is>
      </c>
      <c r="C24" s="12" t="n"/>
      <c r="D24" s="12" t="n"/>
      <c r="Q24" s="26" t="n">
        <v>4</v>
      </c>
    </row>
    <row r="25">
      <c r="B25" s="12" t="n"/>
      <c r="C25" s="12" t="n"/>
      <c r="D25" s="12" t="n"/>
      <c r="Q25" s="25" t="n"/>
    </row>
    <row r="26">
      <c r="B26" s="20" t="inlineStr">
        <is>
          <t>3. Мне кажется, что другие люди меня используют</t>
        </is>
      </c>
      <c r="C26" s="12" t="n"/>
      <c r="D26" s="12" t="n"/>
      <c r="Q26" s="26" t="n">
        <v>4</v>
      </c>
    </row>
    <row r="27">
      <c r="B27" s="12" t="n"/>
      <c r="C27" s="12" t="n"/>
      <c r="D27" s="12" t="n"/>
      <c r="Q27" s="25" t="n"/>
    </row>
    <row r="28">
      <c r="B28" s="20" t="inlineStr">
        <is>
          <t>4. Я не вписываюсь ни в одну из компаний</t>
        </is>
      </c>
      <c r="C28" s="12" t="n"/>
      <c r="D28" s="12" t="n"/>
      <c r="Q28" s="26" t="n">
        <v>4</v>
      </c>
    </row>
    <row r="29">
      <c r="B29" s="12" t="n"/>
      <c r="C29" s="12" t="n"/>
      <c r="D29" s="12" t="n"/>
      <c r="Q29" s="25" t="n"/>
    </row>
    <row r="30">
      <c r="B30" s="20" t="inlineStr">
        <is>
          <t>5. Ни один человек, к которому я испытываю влечение, не мог бы полюбить меня, если бы узнал о моих недостатках</t>
        </is>
      </c>
      <c r="C30" s="12" t="n"/>
      <c r="D30" s="12" t="n"/>
      <c r="Q30" s="26" t="n">
        <v>2</v>
      </c>
    </row>
    <row r="31">
      <c r="B31" s="12" t="n"/>
      <c r="C31" s="12" t="n"/>
      <c r="D31" s="12" t="n"/>
      <c r="Q31" s="25" t="n"/>
    </row>
    <row r="32">
      <c r="B32" s="20" t="inlineStr">
        <is>
          <t>6. Почти всё, что я делаю на работе (в учебе) не так хорошо, как это могли бы сделать другие люди</t>
        </is>
      </c>
      <c r="C32" s="12" t="n"/>
      <c r="D32" s="12" t="n"/>
      <c r="Q32" s="26" t="n">
        <v>1</v>
      </c>
    </row>
    <row r="33">
      <c r="B33" s="12" t="n"/>
      <c r="C33" s="12" t="n"/>
      <c r="D33" s="12" t="n"/>
      <c r="Q33" s="25" t="n"/>
    </row>
    <row r="34">
      <c r="B34" s="20" t="inlineStr">
        <is>
          <t>7. Думаю, что я не способен самостоятельно справляться с повседневными делами</t>
        </is>
      </c>
      <c r="C34" s="12" t="n"/>
      <c r="D34" s="12" t="n"/>
      <c r="Q34" s="26" t="n">
        <v>2</v>
      </c>
    </row>
    <row r="35">
      <c r="B35" s="12" t="n"/>
      <c r="C35" s="12" t="n"/>
      <c r="D35" s="12" t="n"/>
      <c r="Q35" s="25" t="n"/>
    </row>
    <row r="36">
      <c r="B36" s="20" t="inlineStr">
        <is>
          <t>8. Я не могу избавиться от ощущения, что должно случиться что-то плохое</t>
        </is>
      </c>
      <c r="C36" s="12" t="n"/>
      <c r="D36" s="12" t="n"/>
      <c r="Q36" s="26" t="n">
        <v>4</v>
      </c>
    </row>
    <row r="37">
      <c r="B37" s="12" t="n"/>
      <c r="C37" s="12" t="n"/>
      <c r="D37" s="12" t="n"/>
      <c r="Q37" s="25" t="n"/>
    </row>
    <row r="38">
      <c r="B38" s="20" t="inlineStr">
        <is>
          <t>9. Я не смог «отделиться» от своих родителей в той мере, в какой это сделали мои сверстники</t>
        </is>
      </c>
      <c r="C38" s="12" t="n"/>
      <c r="D38" s="12" t="n"/>
      <c r="Q38" s="26" t="n">
        <v>2</v>
      </c>
    </row>
    <row r="39">
      <c r="B39" s="12" t="n"/>
      <c r="C39" s="12" t="n"/>
      <c r="D39" s="12" t="n"/>
      <c r="Q39" s="25" t="n"/>
    </row>
    <row r="40">
      <c r="B40" s="20" t="inlineStr">
        <is>
          <t>10. Я думаю, что если я буду делать только то, что мне хочется, это непременно приведет к неприятностям</t>
        </is>
      </c>
      <c r="C40" s="12" t="n"/>
      <c r="D40" s="12" t="n"/>
      <c r="Q40" s="26" t="n">
        <v>2</v>
      </c>
    </row>
    <row r="41">
      <c r="B41" s="12" t="n"/>
      <c r="C41" s="12" t="n"/>
      <c r="D41" s="12" t="n"/>
      <c r="Q41" s="25" t="n"/>
    </row>
    <row r="42">
      <c r="B42" s="20" t="inlineStr">
        <is>
          <t>11. В конце концов, именно мне приходится заботиться о моих близких</t>
        </is>
      </c>
      <c r="C42" s="12" t="n"/>
      <c r="D42" s="12" t="n"/>
      <c r="Q42" s="26" t="n">
        <v>3</v>
      </c>
    </row>
    <row r="43">
      <c r="Q43" s="25" t="n"/>
    </row>
    <row r="44">
      <c r="Q44" s="25" t="n"/>
    </row>
    <row r="45">
      <c r="B45" s="14" t="inlineStr">
        <is>
          <t>1 = Абсолютно не соответствует</t>
        </is>
      </c>
      <c r="C45" s="15" t="n"/>
      <c r="D45" s="16" t="n"/>
      <c r="E45" s="16" t="n"/>
      <c r="F45" s="14" t="inlineStr">
        <is>
          <t>4 = В общем, соответствует</t>
        </is>
      </c>
      <c r="G45" s="16" t="n"/>
      <c r="H45" s="16" t="n"/>
      <c r="I45" s="18" t="n"/>
      <c r="Q45" s="12" t="n"/>
    </row>
    <row r="46">
      <c r="B46" s="17" t="inlineStr">
        <is>
          <t>2 = По большей части не соответствует</t>
        </is>
      </c>
      <c r="C46" s="15" t="n"/>
      <c r="D46" s="17" t="n"/>
      <c r="E46" s="17" t="n"/>
      <c r="F46" s="17" t="inlineStr">
        <is>
          <t>5 = По большей части соотвествует</t>
        </is>
      </c>
      <c r="G46" s="17" t="n"/>
      <c r="H46" s="17" t="n"/>
      <c r="I46" s="19" t="n"/>
      <c r="Q46" s="12" t="n"/>
    </row>
    <row r="47">
      <c r="B47" s="17" t="inlineStr">
        <is>
          <t>3 = Скорее соответствует, чем нет</t>
        </is>
      </c>
      <c r="C47" s="15" t="n"/>
      <c r="D47" s="17" t="n"/>
      <c r="E47" s="17" t="n"/>
      <c r="F47" s="17" t="inlineStr">
        <is>
          <t>6 = Полностью соответствует</t>
        </is>
      </c>
      <c r="G47" s="17" t="n"/>
      <c r="H47" s="17" t="n"/>
      <c r="I47" s="19" t="n"/>
      <c r="Q47" s="12" t="n"/>
    </row>
    <row r="48">
      <c r="Q48" s="12" t="n"/>
    </row>
    <row r="49">
      <c r="B49" s="24" t="inlineStr">
        <is>
          <t>Утверждение:</t>
        </is>
      </c>
      <c r="Q49" s="23" t="inlineStr">
        <is>
          <t>Балл</t>
        </is>
      </c>
    </row>
    <row r="50">
      <c r="Q50" s="27" t="n"/>
    </row>
    <row r="51">
      <c r="B51" s="20" t="inlineStr">
        <is>
          <t>12. Я слишком застенчив, чтобы проявлять свою симпатию (внимание или привязанность) к другим людям</t>
        </is>
      </c>
      <c r="C51" s="12" t="n"/>
      <c r="D51" s="12" t="n"/>
      <c r="Q51" s="26" t="n">
        <v>2</v>
      </c>
    </row>
    <row r="52">
      <c r="B52" s="12" t="n"/>
      <c r="C52" s="12" t="n"/>
      <c r="D52" s="12" t="n"/>
      <c r="Q52" s="25" t="n"/>
    </row>
    <row r="53">
      <c r="B53" s="20" t="inlineStr">
        <is>
          <t>13. Я должен быть лучшим во всем, что я делаю, и не могу быть хуже других</t>
        </is>
      </c>
      <c r="C53" s="12" t="n"/>
      <c r="D53" s="12" t="n"/>
      <c r="Q53" s="26" t="n">
        <v>4</v>
      </c>
    </row>
    <row r="54">
      <c r="B54" s="12" t="n"/>
      <c r="C54" s="12" t="n"/>
      <c r="D54" s="12" t="n"/>
      <c r="Q54" s="25" t="n"/>
    </row>
    <row r="55">
      <c r="B55" s="20" t="inlineStr">
        <is>
          <t>14. Мне очень трудно принять «нет» в качестве ответа, если я чего-нибудь хочу от других людей</t>
        </is>
      </c>
      <c r="C55" s="12" t="n"/>
      <c r="D55" s="12" t="n"/>
      <c r="Q55" s="26" t="n">
        <v>2</v>
      </c>
    </row>
    <row r="56">
      <c r="B56" s="12" t="n"/>
      <c r="C56" s="12" t="n"/>
      <c r="D56" s="12" t="n"/>
      <c r="Q56" s="25" t="n"/>
    </row>
    <row r="57">
      <c r="B57" s="20" t="inlineStr">
        <is>
          <t>15. Я не могу заставить себя выполнять рутинные или скучные задания</t>
        </is>
      </c>
      <c r="C57" s="12" t="n"/>
      <c r="D57" s="12" t="n"/>
      <c r="Q57" s="26" t="n">
        <v>3</v>
      </c>
    </row>
    <row r="58">
      <c r="B58" s="12" t="n"/>
      <c r="C58" s="12" t="n"/>
      <c r="D58" s="12" t="n"/>
      <c r="Q58" s="25" t="n"/>
    </row>
    <row r="59">
      <c r="B59" s="20" t="inlineStr">
        <is>
          <t>16. Знакомство с важными людьми и наличие денег дают мне ощущение собственной значимости</t>
        </is>
      </c>
      <c r="C59" s="12" t="n"/>
      <c r="D59" s="12" t="n"/>
      <c r="Q59" s="26" t="n">
        <v>2</v>
      </c>
    </row>
    <row r="60">
      <c r="B60" s="12" t="n"/>
      <c r="C60" s="12" t="n"/>
      <c r="D60" s="12" t="n"/>
      <c r="Q60" s="25" t="n"/>
    </row>
    <row r="61">
      <c r="B61" s="20" t="inlineStr">
        <is>
          <t>17. Даже когда дела идут хорошо, у меня такое ощущение, что это ненадолго</t>
        </is>
      </c>
      <c r="C61" s="12" t="n"/>
      <c r="D61" s="12" t="n"/>
      <c r="Q61" s="26" t="n">
        <v>4</v>
      </c>
    </row>
    <row r="62">
      <c r="B62" s="12" t="n"/>
      <c r="C62" s="12" t="n"/>
      <c r="D62" s="12" t="n"/>
      <c r="Q62" s="25" t="n"/>
    </row>
    <row r="63">
      <c r="B63" s="20" t="inlineStr">
        <is>
          <t>18. Если я допущу ошибку, то должен быть наказан</t>
        </is>
      </c>
      <c r="C63" s="12" t="n"/>
      <c r="D63" s="12" t="n"/>
      <c r="Q63" s="26" t="n">
        <v>2</v>
      </c>
    </row>
    <row r="64">
      <c r="B64" s="12" t="n"/>
      <c r="C64" s="12" t="n"/>
      <c r="D64" s="12" t="n"/>
      <c r="Q64" s="25" t="n"/>
    </row>
    <row r="65">
      <c r="B65" s="20" t="inlineStr">
        <is>
          <t>19. Я не знаю таких людей, которые давали бы мне тепло, любовь и заботу</t>
        </is>
      </c>
      <c r="C65" s="12" t="n"/>
      <c r="D65" s="12" t="n"/>
      <c r="Q65" s="26" t="n">
        <v>1</v>
      </c>
    </row>
    <row r="66">
      <c r="B66" s="12" t="n"/>
      <c r="C66" s="12" t="n"/>
      <c r="D66" s="12" t="n"/>
      <c r="Q66" s="25" t="n"/>
    </row>
    <row r="67">
      <c r="B67" s="20" t="inlineStr">
        <is>
          <t>20. Я так сильно нуждаюсь в других людях, что боюсь их потерять</t>
        </is>
      </c>
      <c r="C67" s="12" t="n"/>
      <c r="D67" s="12" t="n"/>
      <c r="Q67" s="26" t="n">
        <v>4</v>
      </c>
    </row>
    <row r="68">
      <c r="B68" s="12" t="n"/>
      <c r="C68" s="12" t="n"/>
      <c r="D68" s="12" t="n"/>
      <c r="Q68" s="25" t="n"/>
    </row>
    <row r="69">
      <c r="B69" s="20" t="inlineStr">
        <is>
          <t>21. Я чувствую, что не могу ослабить свою защиту и вести себя естественно в присутствии других людей, так как они могут причинить мне боль</t>
        </is>
      </c>
      <c r="C69" s="12" t="n"/>
      <c r="D69" s="12" t="n"/>
      <c r="Q69" s="26" t="n">
        <v>3</v>
      </c>
    </row>
    <row r="70">
      <c r="B70" s="12" t="n"/>
      <c r="C70" s="12" t="n"/>
      <c r="D70" s="12" t="n"/>
      <c r="Q70" s="25" t="n"/>
    </row>
    <row r="71">
      <c r="B71" s="20" t="inlineStr">
        <is>
          <t>22. Я очень сильно отличаюсь от других людей</t>
        </is>
      </c>
      <c r="C71" s="12" t="n"/>
      <c r="D71" s="12" t="n"/>
      <c r="Q71" s="26" t="n">
        <v>3</v>
      </c>
    </row>
    <row r="72">
      <c r="B72" s="12" t="n"/>
      <c r="C72" s="12" t="n"/>
      <c r="Q72" s="27" t="n"/>
    </row>
    <row r="73">
      <c r="B73" s="12" t="n"/>
      <c r="C73" s="12" t="n"/>
      <c r="Q73" s="12" t="n"/>
    </row>
    <row r="74">
      <c r="B74" s="14" t="inlineStr">
        <is>
          <t>1 = Абсолютно не соответствует</t>
        </is>
      </c>
      <c r="C74" s="15" t="n"/>
      <c r="D74" s="16" t="n"/>
      <c r="E74" s="16" t="n"/>
      <c r="F74" s="14" t="inlineStr">
        <is>
          <t>4 = В общем, соответствует</t>
        </is>
      </c>
      <c r="G74" s="16" t="n"/>
      <c r="H74" s="16" t="n"/>
      <c r="I74" s="18" t="n"/>
      <c r="Q74" s="12" t="n"/>
    </row>
    <row r="75">
      <c r="B75" s="17" t="inlineStr">
        <is>
          <t>2 = По большей части не соответствует</t>
        </is>
      </c>
      <c r="C75" s="15" t="n"/>
      <c r="D75" s="17" t="n"/>
      <c r="E75" s="17" t="n"/>
      <c r="F75" s="17" t="inlineStr">
        <is>
          <t>5 = По большей части соотвествует</t>
        </is>
      </c>
      <c r="G75" s="17" t="n"/>
      <c r="H75" s="17" t="n"/>
      <c r="I75" s="19" t="n"/>
      <c r="Q75" s="12" t="n"/>
    </row>
    <row r="76">
      <c r="B76" s="17" t="inlineStr">
        <is>
          <t>3 = Скорее соответствует, чем нет</t>
        </is>
      </c>
      <c r="C76" s="15" t="n"/>
      <c r="D76" s="17" t="n"/>
      <c r="E76" s="17" t="n"/>
      <c r="F76" s="17" t="inlineStr">
        <is>
          <t>6 = Полностью соответствует</t>
        </is>
      </c>
      <c r="G76" s="17" t="n"/>
      <c r="H76" s="17" t="n"/>
      <c r="I76" s="19" t="n"/>
      <c r="Q76" s="12" t="n"/>
    </row>
    <row r="77">
      <c r="Q77" s="12" t="n"/>
    </row>
    <row r="78">
      <c r="B78" s="24" t="inlineStr">
        <is>
          <t>Утверждение:</t>
        </is>
      </c>
      <c r="Q78" s="23" t="inlineStr">
        <is>
          <t>Балл</t>
        </is>
      </c>
    </row>
    <row r="79">
      <c r="B79" s="12" t="n"/>
      <c r="C79" s="12" t="n"/>
      <c r="Q79" s="25" t="n"/>
    </row>
    <row r="80" ht="15" customHeight="1" s="31">
      <c r="B80" s="20" t="inlineStr">
        <is>
          <t>23. Никто, о ком я мечтаю, не захотел бы остаться рядом со мной, если бы узнал, какой я на самом деле</t>
        </is>
      </c>
      <c r="C80" s="12" t="n"/>
      <c r="Q80" s="26" t="n">
        <v>1</v>
      </c>
    </row>
    <row r="81">
      <c r="B81" s="12" t="n"/>
      <c r="C81" s="12" t="n"/>
      <c r="Q81" s="25" t="n"/>
    </row>
    <row r="82">
      <c r="B82" s="20" t="inlineStr">
        <is>
          <t>24. Я неспособен добиться успеха</t>
        </is>
      </c>
      <c r="C82" s="12" t="n"/>
      <c r="Q82" s="26" t="n">
        <v>2</v>
      </c>
    </row>
    <row r="83">
      <c r="B83" s="12" t="n"/>
      <c r="C83" s="12" t="n"/>
      <c r="Q83" s="25" t="n"/>
    </row>
    <row r="84">
      <c r="B84" s="20" t="inlineStr">
        <is>
          <t>25. В повседневной жизни я во многом завишу от других людей</t>
        </is>
      </c>
      <c r="C84" s="12" t="n"/>
      <c r="Q84" s="26" t="n">
        <v>3</v>
      </c>
    </row>
    <row r="85">
      <c r="B85" s="12" t="n"/>
      <c r="C85" s="12" t="n"/>
      <c r="Q85" s="25" t="n"/>
    </row>
    <row r="86">
      <c r="B86" s="20" t="inlineStr">
        <is>
          <t>26. Я полагаю, что в любой момент может произойти нечто ужасное (природная катастрофа, преступление, финансовый кризис или несчастный случай)</t>
        </is>
      </c>
      <c r="C86" s="12" t="n"/>
      <c r="Q86" s="26" t="n">
        <v>4</v>
      </c>
    </row>
    <row r="87">
      <c r="B87" s="12" t="n"/>
      <c r="C87" s="12" t="n"/>
      <c r="Q87" s="25" t="n"/>
    </row>
    <row r="88">
      <c r="B88" s="20" t="inlineStr">
        <is>
          <t>27. Я и мои родители склонны (были склонны) принимать излишнее участие в жизни и решении проблем друг друга</t>
        </is>
      </c>
      <c r="C88" s="12" t="n"/>
      <c r="Q88" s="26" t="n">
        <v>3</v>
      </c>
    </row>
    <row r="89">
      <c r="B89" s="12" t="n"/>
      <c r="C89" s="12" t="n"/>
      <c r="Q89" s="25" t="n"/>
    </row>
    <row r="90">
      <c r="B90" s="20" t="inlineStr">
        <is>
          <t>28. Я чувствую, что я должен уступать желаниям других людей, иначе они могут отвергнуть меня или как-то отомстить</t>
        </is>
      </c>
      <c r="C90" s="12" t="n"/>
      <c r="Q90" s="26" t="n">
        <v>5</v>
      </c>
    </row>
    <row r="91">
      <c r="B91" s="12" t="n"/>
      <c r="C91" s="12" t="n"/>
      <c r="Q91" s="25" t="n"/>
    </row>
    <row r="92">
      <c r="B92" s="20" t="inlineStr">
        <is>
          <t>29. Я - хороший человек, так как думаю о других больше, чем о себе</t>
        </is>
      </c>
      <c r="C92" s="12" t="n"/>
      <c r="Q92" s="26" t="n">
        <v>4</v>
      </c>
    </row>
    <row r="93">
      <c r="B93" s="12" t="n"/>
      <c r="C93" s="12" t="n"/>
      <c r="Q93" s="25" t="n"/>
    </row>
    <row r="94">
      <c r="B94" s="20" t="inlineStr">
        <is>
          <t>30. Мне неловко показывать другим свои чувства</t>
        </is>
      </c>
      <c r="C94" s="12" t="n"/>
      <c r="Q94" s="26" t="n">
        <v>4</v>
      </c>
    </row>
    <row r="95">
      <c r="B95" s="12" t="n"/>
      <c r="C95" s="12" t="n"/>
      <c r="Q95" s="25" t="n"/>
    </row>
    <row r="96">
      <c r="B96" s="20" t="inlineStr">
        <is>
          <t>31. Я стараюсь делать все как можно лучше и не приемлю, когда говорят «…и так уже достаточно хорошо…»</t>
        </is>
      </c>
      <c r="C96" s="12" t="n"/>
      <c r="Q96" s="26" t="n">
        <v>4</v>
      </c>
    </row>
    <row r="97">
      <c r="B97" s="12" t="n"/>
      <c r="C97" s="12" t="n"/>
      <c r="Q97" s="25" t="n"/>
    </row>
    <row r="98">
      <c r="B98" s="20" t="inlineStr">
        <is>
          <t>32. Я особенный человек и не обязан подчиняться многим ограничениям, установленным для других людей</t>
        </is>
      </c>
      <c r="C98" s="12" t="n"/>
      <c r="Q98" s="26" t="n">
        <v>2</v>
      </c>
    </row>
    <row r="99">
      <c r="B99" s="12" t="n"/>
      <c r="C99" s="12" t="n"/>
      <c r="Q99" s="25" t="n"/>
    </row>
    <row r="100">
      <c r="B100" s="20" t="inlineStr">
        <is>
          <t>33. Если мне не удается достичь цели, я легко отчаиваюсь и сдаюсь</t>
        </is>
      </c>
      <c r="C100" s="12" t="n"/>
      <c r="Q100" s="26" t="n">
        <v>1</v>
      </c>
    </row>
    <row r="101">
      <c r="B101" s="12" t="n"/>
      <c r="C101" s="12" t="n"/>
      <c r="Q101" s="25" t="n"/>
    </row>
    <row r="102">
      <c r="B102" s="12" t="n"/>
      <c r="C102" s="12" t="n"/>
      <c r="Q102" s="12" t="n"/>
    </row>
    <row r="103">
      <c r="B103" s="14" t="inlineStr">
        <is>
          <t>1 = Абсолютно не соответствует</t>
        </is>
      </c>
      <c r="C103" s="15" t="n"/>
      <c r="D103" s="16" t="n"/>
      <c r="E103" s="16" t="n"/>
      <c r="F103" s="14" t="inlineStr">
        <is>
          <t>4 = В общем, соответствует</t>
        </is>
      </c>
      <c r="G103" s="16" t="n"/>
      <c r="H103" s="16" t="n"/>
      <c r="I103" s="18" t="n"/>
      <c r="Q103" s="12" t="n"/>
    </row>
    <row r="104">
      <c r="B104" s="17" t="inlineStr">
        <is>
          <t>2 = По большей части не соответствует</t>
        </is>
      </c>
      <c r="C104" s="15" t="n"/>
      <c r="D104" s="17" t="n"/>
      <c r="E104" s="17" t="n"/>
      <c r="F104" s="17" t="inlineStr">
        <is>
          <t>5 = По большей части соотвествует</t>
        </is>
      </c>
      <c r="G104" s="17" t="n"/>
      <c r="H104" s="17" t="n"/>
      <c r="I104" s="19" t="n"/>
      <c r="Q104" s="12" t="n"/>
    </row>
    <row r="105">
      <c r="B105" s="17" t="inlineStr">
        <is>
          <t>3 = Скорее соответствует, чем нет</t>
        </is>
      </c>
      <c r="C105" s="15" t="n"/>
      <c r="D105" s="17" t="n"/>
      <c r="E105" s="17" t="n"/>
      <c r="F105" s="17" t="inlineStr">
        <is>
          <t>6 = Полностью соответствует</t>
        </is>
      </c>
      <c r="G105" s="17" t="n"/>
      <c r="H105" s="17" t="n"/>
      <c r="I105" s="19" t="n"/>
      <c r="Q105" s="12" t="n"/>
    </row>
    <row r="106">
      <c r="Q106" s="12" t="n"/>
    </row>
    <row r="107">
      <c r="B107" s="24" t="inlineStr">
        <is>
          <t>Утверждение:</t>
        </is>
      </c>
      <c r="Q107" s="23" t="inlineStr">
        <is>
          <t>Балл</t>
        </is>
      </c>
    </row>
    <row r="108">
      <c r="B108" s="12" t="n"/>
      <c r="C108" s="12" t="n"/>
      <c r="Q108" s="12" t="n"/>
    </row>
    <row r="109">
      <c r="B109" s="20" t="inlineStr">
        <is>
          <t>34. Достижения имеют для меня наибольшую ценность, если их замечают другие люди</t>
        </is>
      </c>
      <c r="C109" s="12" t="n"/>
      <c r="Q109" s="26" t="n">
        <v>4</v>
      </c>
    </row>
    <row r="110">
      <c r="B110" s="12" t="n"/>
      <c r="C110" s="12" t="n"/>
      <c r="Q110" s="25" t="n"/>
    </row>
    <row r="111">
      <c r="B111" s="20" t="inlineStr">
        <is>
          <t>35. Когда случается что-то хорошее, я жду, что должно случиться что-то плохое</t>
        </is>
      </c>
      <c r="C111" s="12" t="n"/>
      <c r="Q111" s="26" t="n">
        <v>3</v>
      </c>
    </row>
    <row r="112">
      <c r="B112" s="12" t="n"/>
      <c r="C112" s="12" t="n"/>
      <c r="Q112" s="25" t="n"/>
    </row>
    <row r="113">
      <c r="B113" s="20" t="inlineStr">
        <is>
          <t>36. Если я не буду стараться изо всех сил, то у меня обязательно будут неприятности</t>
        </is>
      </c>
      <c r="C113" s="12" t="n"/>
      <c r="Q113" s="26" t="n">
        <v>3</v>
      </c>
    </row>
    <row r="114">
      <c r="B114" s="12" t="n"/>
      <c r="C114" s="12" t="n"/>
      <c r="Q114" s="25" t="n"/>
    </row>
    <row r="115">
      <c r="B115" s="20" t="inlineStr">
        <is>
          <t>37. Я никогда не чувствовал, что я был кем-то особенным для другого человека</t>
        </is>
      </c>
      <c r="C115" s="12" t="n"/>
      <c r="Q115" s="26" t="n">
        <v>1</v>
      </c>
    </row>
    <row r="116">
      <c r="B116" s="12" t="n"/>
      <c r="C116" s="12" t="n"/>
      <c r="Q116" s="25" t="n"/>
    </row>
    <row r="117">
      <c r="B117" s="20" t="inlineStr">
        <is>
          <t>38. Я опасаюсь, что мои близкие покинут или «бросят» меня</t>
        </is>
      </c>
      <c r="C117" s="12" t="n"/>
      <c r="Q117" s="26" t="n">
        <v>3</v>
      </c>
    </row>
    <row r="118">
      <c r="B118" s="12" t="n"/>
      <c r="C118" s="12" t="n"/>
      <c r="Q118" s="25" t="n"/>
    </row>
    <row r="119">
      <c r="B119" s="20" t="inlineStr">
        <is>
          <t>39. Думаю, что рано или поздно, кто-нибудь меня обязательно предаст</t>
        </is>
      </c>
      <c r="C119" s="12" t="n"/>
      <c r="Q119" s="26" t="n">
        <v>3</v>
      </c>
    </row>
    <row r="120">
      <c r="B120" s="12" t="n"/>
      <c r="C120" s="12" t="n"/>
      <c r="Q120" s="25" t="n"/>
    </row>
    <row r="121">
      <c r="B121" s="20" t="inlineStr">
        <is>
          <t>40. Я – одиночка, и не принадлежу ни к какому «кругу»</t>
        </is>
      </c>
      <c r="C121" s="12" t="n"/>
      <c r="Q121" s="26" t="n">
        <v>4</v>
      </c>
    </row>
    <row r="122">
      <c r="B122" s="12" t="n"/>
      <c r="C122" s="12" t="n"/>
      <c r="Q122" s="25" t="n"/>
    </row>
    <row r="123">
      <c r="B123" s="20" t="inlineStr">
        <is>
          <t>41. Я недостоин любви, внимания или уважения других людей</t>
        </is>
      </c>
      <c r="C123" s="12" t="n"/>
      <c r="Q123" s="26" t="n">
        <v>1</v>
      </c>
    </row>
    <row r="124">
      <c r="B124" s="12" t="n"/>
      <c r="C124" s="12" t="n"/>
      <c r="Q124" s="25" t="n"/>
    </row>
    <row r="125">
      <c r="B125" s="20" t="inlineStr">
        <is>
          <t>42. Большинство людей достигают лучших результатов в работе, чем я</t>
        </is>
      </c>
      <c r="C125" s="12" t="n"/>
      <c r="Q125" s="26" t="n">
        <v>2</v>
      </c>
    </row>
    <row r="126">
      <c r="B126" s="12" t="n"/>
      <c r="C126" s="12" t="n"/>
      <c r="Q126" s="25" t="n"/>
    </row>
    <row r="127">
      <c r="B127" s="20" t="inlineStr">
        <is>
          <t>43. Мне не хватает здравого смысла</t>
        </is>
      </c>
      <c r="C127" s="12" t="n"/>
      <c r="Q127" s="26" t="n">
        <v>2</v>
      </c>
    </row>
    <row r="128">
      <c r="B128" s="12" t="n"/>
      <c r="C128" s="12" t="n"/>
      <c r="Q128" s="25" t="n"/>
    </row>
    <row r="129">
      <c r="B129" s="20" t="inlineStr">
        <is>
          <t>44. Я боюсь, что на меня могут напасть</t>
        </is>
      </c>
      <c r="C129" s="12" t="n"/>
      <c r="Q129" s="26" t="n">
        <v>4</v>
      </c>
    </row>
    <row r="130">
      <c r="B130" s="12" t="n"/>
      <c r="C130" s="12" t="n"/>
      <c r="Q130" s="25" t="n"/>
    </row>
    <row r="131">
      <c r="B131" s="12" t="n"/>
      <c r="C131" s="12" t="n"/>
      <c r="Q131" s="12" t="n"/>
    </row>
    <row r="132">
      <c r="B132" s="14" t="inlineStr">
        <is>
          <t>1 = Абсолютно не соответствует</t>
        </is>
      </c>
      <c r="C132" s="15" t="n"/>
      <c r="D132" s="16" t="n"/>
      <c r="E132" s="16" t="n"/>
      <c r="F132" s="14" t="inlineStr">
        <is>
          <t>4 = В общем, соответствует</t>
        </is>
      </c>
      <c r="G132" s="16" t="n"/>
      <c r="H132" s="16" t="n"/>
      <c r="I132" s="18" t="n"/>
      <c r="Q132" s="12" t="n"/>
    </row>
    <row r="133">
      <c r="B133" s="17" t="inlineStr">
        <is>
          <t>2 = По большей части не соответствует</t>
        </is>
      </c>
      <c r="C133" s="15" t="n"/>
      <c r="D133" s="17" t="n"/>
      <c r="E133" s="17" t="n"/>
      <c r="F133" s="17" t="inlineStr">
        <is>
          <t>5 = По большей части соотвествует</t>
        </is>
      </c>
      <c r="G133" s="17" t="n"/>
      <c r="H133" s="17" t="n"/>
      <c r="I133" s="19" t="n"/>
      <c r="Q133" s="12" t="n"/>
    </row>
    <row r="134">
      <c r="B134" s="17" t="inlineStr">
        <is>
          <t>3 = Скорее соответствует, чем нет</t>
        </is>
      </c>
      <c r="C134" s="15" t="n"/>
      <c r="D134" s="17" t="n"/>
      <c r="E134" s="17" t="n"/>
      <c r="F134" s="17" t="inlineStr">
        <is>
          <t>6 = Полностью соответствует</t>
        </is>
      </c>
      <c r="G134" s="17" t="n"/>
      <c r="H134" s="17" t="n"/>
      <c r="I134" s="19" t="n"/>
      <c r="Q134" s="12" t="n"/>
    </row>
    <row r="135">
      <c r="Q135" s="12" t="n"/>
    </row>
    <row r="136">
      <c r="B136" s="24" t="inlineStr">
        <is>
          <t>Утверждение:</t>
        </is>
      </c>
      <c r="Q136" s="23" t="inlineStr">
        <is>
          <t>Балл</t>
        </is>
      </c>
    </row>
    <row r="137">
      <c r="B137" s="12" t="n"/>
      <c r="C137" s="12" t="n"/>
      <c r="Q137" s="25" t="n"/>
    </row>
    <row r="138">
      <c r="B138" s="20" t="inlineStr">
        <is>
          <t>45. Мне всегда было очень трудно скрывать от родителей подробности личной жизни, не испытывая при этом чувства вины</t>
        </is>
      </c>
      <c r="C138" s="12" t="n"/>
      <c r="Q138" s="26" t="n">
        <v>4</v>
      </c>
    </row>
    <row r="139">
      <c r="B139" s="12" t="n"/>
      <c r="C139" s="12" t="n"/>
      <c r="Q139" s="25" t="n"/>
    </row>
    <row r="140">
      <c r="B140" s="20" t="inlineStr">
        <is>
          <t>46. В отношениях с другими людьми я легко соглашаюсь быть на вторых ролях</t>
        </is>
      </c>
      <c r="C140" s="12" t="n"/>
      <c r="Q140" s="26" t="n">
        <v>2</v>
      </c>
    </row>
    <row r="141">
      <c r="B141" s="12" t="n"/>
      <c r="C141" s="12" t="n"/>
      <c r="Q141" s="25" t="n"/>
    </row>
    <row r="142">
      <c r="B142" s="20" t="inlineStr">
        <is>
          <t>47. Я так занят делами моих близких, что у меня не остается времени для себя</t>
        </is>
      </c>
      <c r="C142" s="12" t="n"/>
      <c r="Q142" s="26" t="n">
        <v>3</v>
      </c>
    </row>
    <row r="143">
      <c r="B143" s="12" t="n"/>
      <c r="C143" s="12" t="n"/>
      <c r="Q143" s="25" t="n"/>
    </row>
    <row r="144">
      <c r="B144" s="20" t="inlineStr">
        <is>
          <t>48. Мне трудно быть раскованным и непосредственным с другими людьми</t>
        </is>
      </c>
      <c r="C144" s="12" t="n"/>
      <c r="Q144" s="26" t="n">
        <v>3</v>
      </c>
    </row>
    <row r="145">
      <c r="B145" s="12" t="n"/>
      <c r="C145" s="12" t="n"/>
      <c r="Q145" s="25" t="n"/>
    </row>
    <row r="146">
      <c r="B146" s="20" t="inlineStr">
        <is>
          <t>49. Я должен выполнять все свои обязательства</t>
        </is>
      </c>
      <c r="C146" s="12" t="n"/>
      <c r="Q146" s="26" t="n">
        <v>5</v>
      </c>
    </row>
    <row r="147">
      <c r="B147" s="12" t="n"/>
      <c r="C147" s="12" t="n"/>
      <c r="Q147" s="25" t="n"/>
    </row>
    <row r="148">
      <c r="B148" s="20" t="inlineStr">
        <is>
          <t>50. Я терпеть не могу, когда меня ограничивают или не дают делать то, что я хочу</t>
        </is>
      </c>
      <c r="C148" s="12" t="n"/>
      <c r="Q148" s="26" t="n">
        <v>4</v>
      </c>
    </row>
    <row r="149">
      <c r="B149" s="12" t="n"/>
      <c r="C149" s="12" t="n"/>
      <c r="Q149" s="25" t="n"/>
    </row>
    <row r="150">
      <c r="B150" s="20" t="inlineStr">
        <is>
          <t>51. Мне очень трудно отказывать себе в удовлетворении сиюминутных желаний ради достижения отдаленной цели</t>
        </is>
      </c>
      <c r="C150" s="12" t="n"/>
      <c r="Q150" s="26" t="n">
        <v>4</v>
      </c>
    </row>
    <row r="151">
      <c r="B151" s="12" t="n"/>
      <c r="C151" s="12" t="n"/>
      <c r="Q151" s="25" t="n"/>
    </row>
    <row r="152">
      <c r="B152" s="20" t="inlineStr">
        <is>
          <t>52. Когда я не получаю повышенного внимания, я чувствую себя недостаточно значимым человеком</t>
        </is>
      </c>
      <c r="C152" s="12" t="n"/>
      <c r="Q152" s="26" t="n">
        <v>2</v>
      </c>
    </row>
    <row r="153">
      <c r="B153" s="12" t="n"/>
      <c r="C153" s="12" t="n"/>
      <c r="Q153" s="25" t="n"/>
    </row>
    <row r="154">
      <c r="B154" s="20" t="inlineStr">
        <is>
          <t>53. Невозможно всё предусмотреть - что-нибудь обязательно пойдёт не так</t>
        </is>
      </c>
      <c r="C154" s="12" t="n"/>
      <c r="Q154" s="26" t="n">
        <v>4</v>
      </c>
    </row>
    <row r="155">
      <c r="B155" s="12" t="n"/>
      <c r="C155" s="12" t="n"/>
      <c r="Q155" s="25" t="n"/>
    </row>
    <row r="156">
      <c r="B156" s="20" t="inlineStr">
        <is>
          <t>54. Если я не сделаю какую-либо работу как следует, то должен буду отвечать за последствия</t>
        </is>
      </c>
      <c r="C156" s="12" t="n"/>
      <c r="Q156" s="26" t="n">
        <v>4</v>
      </c>
    </row>
    <row r="157">
      <c r="B157" s="12" t="n"/>
      <c r="C157" s="12" t="n"/>
      <c r="Q157" s="25" t="n"/>
    </row>
    <row r="158">
      <c r="B158" s="20" t="inlineStr">
        <is>
          <t>55. У меня никогда не было человека, который бы по-настоящему выслушивал и понимал меня или интересовался моими истинными потребностями и чувствами</t>
        </is>
      </c>
      <c r="C158" s="12" t="n"/>
      <c r="Q158" s="26" t="n">
        <v>3</v>
      </c>
    </row>
    <row r="159">
      <c r="B159" s="12" t="n"/>
      <c r="C159" s="12" t="n"/>
      <c r="Q159" s="25" t="n"/>
    </row>
    <row r="160">
      <c r="B160" s="12" t="n"/>
      <c r="C160" s="12" t="n"/>
      <c r="Q160" s="25" t="n"/>
    </row>
    <row r="161">
      <c r="B161" s="14" t="inlineStr">
        <is>
          <t>1 = Абсолютно не соответствует</t>
        </is>
      </c>
      <c r="C161" s="15" t="n"/>
      <c r="D161" s="16" t="n"/>
      <c r="E161" s="16" t="n"/>
      <c r="F161" s="14" t="inlineStr">
        <is>
          <t>4 = В общем, соответствует</t>
        </is>
      </c>
      <c r="G161" s="16" t="n"/>
      <c r="H161" s="16" t="n"/>
      <c r="I161" s="18" t="n"/>
      <c r="Q161" s="12" t="n"/>
    </row>
    <row r="162">
      <c r="B162" s="17" t="inlineStr">
        <is>
          <t>2 = По большей части не соответствует</t>
        </is>
      </c>
      <c r="C162" s="15" t="n"/>
      <c r="D162" s="17" t="n"/>
      <c r="E162" s="17" t="n"/>
      <c r="F162" s="17" t="inlineStr">
        <is>
          <t>5 = По большей части соотвествует</t>
        </is>
      </c>
      <c r="G162" s="17" t="n"/>
      <c r="H162" s="17" t="n"/>
      <c r="I162" s="19" t="n"/>
      <c r="Q162" s="12" t="n"/>
    </row>
    <row r="163">
      <c r="B163" s="17" t="inlineStr">
        <is>
          <t>3 = Скорее соответствует, чем нет</t>
        </is>
      </c>
      <c r="C163" s="15" t="n"/>
      <c r="D163" s="17" t="n"/>
      <c r="E163" s="17" t="n"/>
      <c r="F163" s="17" t="inlineStr">
        <is>
          <t>6 = Полностью соответствует</t>
        </is>
      </c>
      <c r="G163" s="17" t="n"/>
      <c r="H163" s="17" t="n"/>
      <c r="I163" s="19" t="n"/>
      <c r="Q163" s="12" t="n"/>
    </row>
    <row r="164">
      <c r="Q164" s="12" t="n"/>
    </row>
    <row r="165">
      <c r="B165" s="24" t="inlineStr">
        <is>
          <t>Утверждение:</t>
        </is>
      </c>
      <c r="Q165" s="23" t="inlineStr">
        <is>
          <t>Балл</t>
        </is>
      </c>
    </row>
    <row r="166">
      <c r="B166" s="12" t="n"/>
      <c r="C166" s="12" t="n"/>
      <c r="Q166" s="25" t="n"/>
    </row>
    <row r="167">
      <c r="B167" s="20" t="inlineStr">
        <is>
          <t>56. Когда я чувствую, что близкий человек отдаляется или уходит от меня, я впадаю в отчаяние</t>
        </is>
      </c>
      <c r="C167" s="12" t="n"/>
      <c r="Q167" s="26" t="n">
        <v>4</v>
      </c>
    </row>
    <row r="168">
      <c r="B168" s="12" t="n"/>
      <c r="C168" s="12" t="n"/>
      <c r="Q168" s="25" t="n"/>
    </row>
    <row r="169">
      <c r="B169" s="20" t="inlineStr">
        <is>
          <t>57. Я очень подозрительно отношусь к тому, какими мотивами руководствуются другие люди</t>
        </is>
      </c>
      <c r="C169" s="12" t="n"/>
      <c r="Q169" s="26" t="n">
        <v>5</v>
      </c>
    </row>
    <row r="170">
      <c r="B170" s="12" t="n"/>
      <c r="C170" s="12" t="n"/>
      <c r="Q170" s="25" t="n"/>
    </row>
    <row r="171">
      <c r="B171" s="20" t="inlineStr">
        <is>
          <t>58. Я чувствую себя отчужденным или изолированным от других людей</t>
        </is>
      </c>
      <c r="C171" s="12" t="n"/>
      <c r="Q171" s="26" t="n">
        <v>2</v>
      </c>
    </row>
    <row r="172">
      <c r="B172" s="12" t="n"/>
      <c r="C172" s="12" t="n"/>
      <c r="Q172" s="25" t="n"/>
    </row>
    <row r="173">
      <c r="B173" s="20" t="inlineStr">
        <is>
          <t>59. Мне кажется, что меня нельзя полюбить</t>
        </is>
      </c>
      <c r="C173" s="12" t="n"/>
      <c r="Q173" s="26" t="n">
        <v>2</v>
      </c>
    </row>
    <row r="174">
      <c r="B174" s="12" t="n"/>
      <c r="C174" s="12" t="n"/>
      <c r="Q174" s="25" t="n"/>
    </row>
    <row r="175">
      <c r="B175" s="20" t="inlineStr">
        <is>
          <t>60. В работе я не так талантлив, как большинство других людей</t>
        </is>
      </c>
      <c r="C175" s="12" t="n"/>
      <c r="Q175" s="26" t="n">
        <v>2</v>
      </c>
    </row>
    <row r="176">
      <c r="B176" s="12" t="n"/>
      <c r="C176" s="12" t="n"/>
      <c r="Q176" s="25" t="n"/>
    </row>
    <row r="177">
      <c r="B177" s="20" t="inlineStr">
        <is>
          <t>61. В житейских ситуациях на мое мнение нельзя полагаться</t>
        </is>
      </c>
      <c r="C177" s="12" t="n"/>
      <c r="Q177" s="26" t="n">
        <v>2</v>
      </c>
    </row>
    <row r="178">
      <c r="B178" s="12" t="n"/>
      <c r="C178" s="12" t="n"/>
      <c r="Q178" s="25" t="n"/>
    </row>
    <row r="179">
      <c r="B179" s="20" t="inlineStr">
        <is>
          <t>62. Я боюсь, что потеряю все деньги или останусь без средств к существованию</t>
        </is>
      </c>
      <c r="C179" s="12" t="n"/>
      <c r="Q179" s="26" t="n">
        <v>4</v>
      </c>
    </row>
    <row r="180">
      <c r="B180" s="12" t="n"/>
      <c r="C180" s="12" t="n"/>
      <c r="Q180" s="25" t="n"/>
    </row>
    <row r="181">
      <c r="B181" s="20" t="inlineStr">
        <is>
          <t>63. Я чувствую, что живу не собственной жизнью, а так, как хотели бы от меня мои родители</t>
        </is>
      </c>
      <c r="C181" s="12" t="n"/>
      <c r="Q181" s="26" t="n">
        <v>3</v>
      </c>
    </row>
    <row r="182">
      <c r="B182" s="12" t="n"/>
      <c r="C182" s="12" t="n"/>
      <c r="Q182" s="25" t="n"/>
    </row>
    <row r="183">
      <c r="B183" s="20" t="inlineStr">
        <is>
          <t>64. Так как решения за меня всегда принимали другие, то теперь я сам не знаю, чего хочу на самом деле</t>
        </is>
      </c>
      <c r="C183" s="12" t="n"/>
      <c r="Q183" s="26" t="n">
        <v>1</v>
      </c>
    </row>
    <row r="184">
      <c r="B184" s="12" t="n"/>
      <c r="C184" s="12" t="n"/>
      <c r="Q184" s="25" t="n"/>
    </row>
    <row r="185">
      <c r="B185" s="20" t="inlineStr">
        <is>
          <t>65. Мне всегда приходится выслушивать проблемы других людей</t>
        </is>
      </c>
      <c r="C185" s="12" t="n"/>
      <c r="Q185" s="26" t="n">
        <v>4</v>
      </c>
    </row>
    <row r="186">
      <c r="B186" s="12" t="n"/>
      <c r="C186" s="12" t="n"/>
      <c r="Q186" s="25" t="n"/>
    </row>
    <row r="187">
      <c r="B187" s="20" t="inlineStr">
        <is>
          <t>66. Я так сильно контролирую себя, что меня считают неэмоциональным или бесчувственным</t>
        </is>
      </c>
      <c r="C187" s="12" t="n"/>
      <c r="Q187" s="26" t="n">
        <v>3</v>
      </c>
    </row>
    <row r="188">
      <c r="B188" s="12" t="n"/>
      <c r="C188" s="12" t="n"/>
      <c r="Q188" s="25" t="n"/>
    </row>
    <row r="189">
      <c r="B189" s="12" t="n"/>
      <c r="C189" s="12" t="n"/>
      <c r="Q189" s="12" t="n"/>
    </row>
    <row r="190">
      <c r="B190" s="14" t="inlineStr">
        <is>
          <t>1 = Абсолютно не соответствует</t>
        </is>
      </c>
      <c r="C190" s="15" t="n"/>
      <c r="D190" s="16" t="n"/>
      <c r="E190" s="16" t="n"/>
      <c r="F190" s="14" t="inlineStr">
        <is>
          <t>4 = В общем, соответствует</t>
        </is>
      </c>
      <c r="G190" s="16" t="n"/>
      <c r="H190" s="16" t="n"/>
      <c r="I190" s="18" t="n"/>
      <c r="Q190" s="12" t="n"/>
    </row>
    <row r="191">
      <c r="B191" s="17" t="inlineStr">
        <is>
          <t>2 = По большей части не соответствует</t>
        </is>
      </c>
      <c r="C191" s="15" t="n"/>
      <c r="D191" s="17" t="n"/>
      <c r="E191" s="17" t="n"/>
      <c r="F191" s="17" t="inlineStr">
        <is>
          <t>5 = По большей части соотвествует</t>
        </is>
      </c>
      <c r="G191" s="17" t="n"/>
      <c r="H191" s="17" t="n"/>
      <c r="I191" s="19" t="n"/>
      <c r="Q191" s="12" t="n"/>
    </row>
    <row r="192">
      <c r="B192" s="17" t="inlineStr">
        <is>
          <t>3 = Скорее соответствует, чем нет</t>
        </is>
      </c>
      <c r="C192" s="15" t="n"/>
      <c r="D192" s="17" t="n"/>
      <c r="E192" s="17" t="n"/>
      <c r="F192" s="17" t="inlineStr">
        <is>
          <t>6 = Полностью соответствует</t>
        </is>
      </c>
      <c r="G192" s="17" t="n"/>
      <c r="H192" s="17" t="n"/>
      <c r="I192" s="19" t="n"/>
      <c r="Q192" s="12" t="n"/>
    </row>
    <row r="193">
      <c r="Q193" s="12" t="n"/>
    </row>
    <row r="194">
      <c r="B194" s="24" t="inlineStr">
        <is>
          <t>Утверждение:</t>
        </is>
      </c>
      <c r="Q194" s="23" t="inlineStr">
        <is>
          <t>Балл</t>
        </is>
      </c>
    </row>
    <row r="195">
      <c r="B195" s="12" t="n"/>
      <c r="C195" s="12" t="n"/>
      <c r="Q195" s="25" t="n"/>
    </row>
    <row r="196">
      <c r="B196" s="20" t="inlineStr">
        <is>
          <t>67. Я постоянно испытываю давление от того, что нужно что-то сделать или чего-то достичь</t>
        </is>
      </c>
      <c r="C196" s="12" t="n"/>
      <c r="Q196" s="26" t="n">
        <v>4</v>
      </c>
    </row>
    <row r="197">
      <c r="B197" s="12" t="n"/>
      <c r="C197" s="12" t="n"/>
      <c r="Q197" s="25" t="n"/>
    </row>
    <row r="198">
      <c r="B198" s="20" t="inlineStr">
        <is>
          <t>68. Считаю, что я не должен следовать общепринятым правилам и договоренностям, как это делают другие люди</t>
        </is>
      </c>
      <c r="C198" s="12" t="n"/>
      <c r="Q198" s="26" t="n">
        <v>2</v>
      </c>
    </row>
    <row r="199">
      <c r="B199" s="12" t="n"/>
      <c r="C199" s="12" t="n"/>
      <c r="Q199" s="25" t="n"/>
    </row>
    <row r="200">
      <c r="B200" s="20" t="inlineStr">
        <is>
          <t>69. Я не могу заставить себя делать то, что мне не нравится, даже если я знаю, что это нужно для моего же блага</t>
        </is>
      </c>
      <c r="C200" s="12" t="n"/>
      <c r="Q200" s="26" t="n">
        <v>4</v>
      </c>
    </row>
    <row r="201">
      <c r="B201" s="12" t="n"/>
      <c r="C201" s="12" t="n"/>
      <c r="Q201" s="25" t="n"/>
    </row>
    <row r="202">
      <c r="B202" s="20" t="inlineStr">
        <is>
          <t>70. Если меня знакомят с новой компанией или я кому-нибудь что-то рассказываю, то для меня очень важно получить признание и восхищение</t>
        </is>
      </c>
      <c r="C202" s="12" t="n"/>
      <c r="Q202" s="26" t="n">
        <v>3</v>
      </c>
    </row>
    <row r="203">
      <c r="B203" s="12" t="n"/>
      <c r="C203" s="12" t="n"/>
      <c r="Q203" s="25" t="n"/>
    </row>
    <row r="204">
      <c r="B204" s="20" t="inlineStr">
        <is>
          <t>71. Независимо от того, насколько усердно я работаю, меня беспокоит, что я могу лишиться денежных средств и остаться ни с чем</t>
        </is>
      </c>
      <c r="C204" s="12" t="n"/>
      <c r="Q204" s="26" t="n">
        <v>5</v>
      </c>
    </row>
    <row r="205">
      <c r="B205" s="12" t="n"/>
      <c r="C205" s="12" t="n"/>
      <c r="Q205" s="25" t="n"/>
    </row>
    <row r="206">
      <c r="B206" s="20" t="inlineStr">
        <is>
          <t>72. Не имеет значения, почему я сделал ошибку - если я сделаю что-то не так, то мне придётся за это расплачиваться</t>
        </is>
      </c>
      <c r="C206" s="12" t="n"/>
      <c r="Q206" s="26" t="n">
        <v>4</v>
      </c>
    </row>
    <row r="207">
      <c r="B207" s="12" t="n"/>
      <c r="C207" s="12" t="n"/>
      <c r="Q207" s="25" t="n"/>
    </row>
    <row r="208">
      <c r="B208" s="20" t="inlineStr">
        <is>
          <t>73. В моей жизни не было такого человека, который мог бы дать мне хороший совет или направить меня, когда я не знал, как поступить</t>
        </is>
      </c>
      <c r="C208" s="12" t="n"/>
      <c r="Q208" s="26" t="n">
        <v>4</v>
      </c>
    </row>
    <row r="209">
      <c r="B209" s="12" t="n"/>
      <c r="C209" s="12" t="n"/>
      <c r="Q209" s="25" t="n"/>
    </row>
    <row r="210">
      <c r="B210" s="20" t="inlineStr">
        <is>
          <t>74. Иногда я так боюсь, что кто-то покинет меня, что сам первый начинаю отталкивать этого человека</t>
        </is>
      </c>
      <c r="C210" s="12" t="n"/>
      <c r="Q210" s="26" t="n">
        <v>4</v>
      </c>
    </row>
    <row r="211">
      <c r="B211" s="12" t="n"/>
      <c r="C211" s="12" t="n"/>
      <c r="Q211" s="25" t="n"/>
    </row>
    <row r="212">
      <c r="B212" s="20" t="inlineStr">
        <is>
          <t>75. Обычно я ищу скрытые мотивы у других людей</t>
        </is>
      </c>
      <c r="C212" s="12" t="n"/>
      <c r="Q212" s="26" t="n">
        <v>5</v>
      </c>
    </row>
    <row r="213">
      <c r="B213" s="12" t="n"/>
      <c r="C213" s="12" t="n"/>
      <c r="Q213" s="25" t="n"/>
    </row>
    <row r="214">
      <c r="B214" s="20" t="inlineStr">
        <is>
          <t>76. Я чувствую себя посторонним в любой группе</t>
        </is>
      </c>
      <c r="C214" s="12" t="n"/>
      <c r="Q214" s="26" t="n">
        <v>3</v>
      </c>
    </row>
    <row r="215">
      <c r="B215" s="12" t="n"/>
      <c r="C215" s="12" t="n"/>
      <c r="Q215" s="25" t="n"/>
    </row>
    <row r="216">
      <c r="B216" s="20" t="inlineStr">
        <is>
          <t>77. У меня много неприемлемых качеств, из-за которых я не могу открываться перед другими людьми или позволять им узнавать меня получше</t>
        </is>
      </c>
      <c r="C216" s="12" t="n"/>
      <c r="Q216" s="26" t="n">
        <v>3</v>
      </c>
    </row>
    <row r="217">
      <c r="B217" s="12" t="n"/>
      <c r="C217" s="12" t="n"/>
      <c r="Q217" s="12" t="n"/>
    </row>
    <row r="218">
      <c r="B218" s="12" t="n"/>
      <c r="C218" s="12" t="n"/>
      <c r="Q218" s="12" t="n"/>
    </row>
    <row r="219">
      <c r="B219" s="14" t="inlineStr">
        <is>
          <t>1 = Абсолютно не соответствует</t>
        </is>
      </c>
      <c r="C219" s="15" t="n"/>
      <c r="D219" s="16" t="n"/>
      <c r="E219" s="16" t="n"/>
      <c r="F219" s="14" t="inlineStr">
        <is>
          <t>4 = В общем, соответствует</t>
        </is>
      </c>
      <c r="G219" s="16" t="n"/>
      <c r="H219" s="16" t="n"/>
      <c r="I219" s="18" t="n"/>
      <c r="Q219" s="12" t="n"/>
    </row>
    <row r="220">
      <c r="B220" s="17" t="inlineStr">
        <is>
          <t>2 = По большей части не соответствует</t>
        </is>
      </c>
      <c r="C220" s="15" t="n"/>
      <c r="D220" s="17" t="n"/>
      <c r="E220" s="17" t="n"/>
      <c r="F220" s="17" t="inlineStr">
        <is>
          <t>5 = По большей части соотвествует</t>
        </is>
      </c>
      <c r="G220" s="17" t="n"/>
      <c r="H220" s="17" t="n"/>
      <c r="I220" s="19" t="n"/>
      <c r="Q220" s="12" t="n"/>
    </row>
    <row r="221">
      <c r="B221" s="17" t="inlineStr">
        <is>
          <t>3 = Скорее соответствует, чем нет</t>
        </is>
      </c>
      <c r="C221" s="15" t="n"/>
      <c r="D221" s="17" t="n"/>
      <c r="E221" s="17" t="n"/>
      <c r="F221" s="17" t="inlineStr">
        <is>
          <t>6 = Полностью соответствует</t>
        </is>
      </c>
      <c r="G221" s="17" t="n"/>
      <c r="H221" s="17" t="n"/>
      <c r="I221" s="19" t="n"/>
      <c r="Q221" s="12" t="n"/>
    </row>
    <row r="222">
      <c r="Q222" s="12" t="n"/>
    </row>
    <row r="223">
      <c r="B223" s="24" t="inlineStr">
        <is>
          <t>Утверждение:</t>
        </is>
      </c>
      <c r="Q223" s="23" t="inlineStr">
        <is>
          <t>Балл</t>
        </is>
      </c>
    </row>
    <row r="224">
      <c r="B224" s="12" t="n"/>
      <c r="C224" s="12" t="n"/>
      <c r="Q224" s="25" t="n"/>
    </row>
    <row r="225">
      <c r="B225" s="20" t="inlineStr">
        <is>
          <t>78. В том, что касается работы или учебы, я не такой сообразительный как большинство других людей</t>
        </is>
      </c>
      <c r="C225" s="12" t="n"/>
      <c r="Q225" s="26" t="n">
        <v>2</v>
      </c>
    </row>
    <row r="226">
      <c r="B226" s="12" t="n"/>
      <c r="C226" s="12" t="n"/>
      <c r="Q226" s="25" t="n"/>
    </row>
    <row r="227">
      <c r="B227" s="20" t="inlineStr">
        <is>
          <t>79. Я не уверен в своей способности справляться с повседневными проблемами, которые постоянно возникают</t>
        </is>
      </c>
      <c r="C227" s="12" t="n"/>
      <c r="Q227" s="26" t="n">
        <v>3</v>
      </c>
    </row>
    <row r="228">
      <c r="B228" s="12" t="n"/>
      <c r="C228" s="12" t="n"/>
      <c r="Q228" s="25" t="n"/>
    </row>
    <row r="229">
      <c r="B229" s="20" t="inlineStr">
        <is>
          <t>80. Я беспокоюсь, что у меня развивается тяжелое заболевание, хотя врачи не обнаруживают ничего серьезного</t>
        </is>
      </c>
      <c r="C229" s="12" t="n"/>
      <c r="Q229" s="26" t="n">
        <v>3</v>
      </c>
    </row>
    <row r="230">
      <c r="B230" s="12" t="n"/>
      <c r="C230" s="12" t="n"/>
      <c r="Q230" s="25" t="n"/>
    </row>
    <row r="231">
      <c r="B231" s="20" t="inlineStr">
        <is>
          <t>81. Я не чувствую себя целостной личностью отдельно от личности моего партнера или кого-то из родителей</t>
        </is>
      </c>
      <c r="C231" s="12" t="n"/>
      <c r="Q231" s="26" t="n">
        <v>3</v>
      </c>
    </row>
    <row r="232">
      <c r="B232" s="12" t="n"/>
      <c r="C232" s="12" t="n"/>
      <c r="Q232" s="25" t="n"/>
    </row>
    <row r="233">
      <c r="B233" s="20" t="inlineStr">
        <is>
          <t>82. Мне очень трудно требовать от других, чтобы они уважали мои права и считались с моими чувствами</t>
        </is>
      </c>
      <c r="C233" s="12" t="n"/>
      <c r="Q233" s="26" t="n">
        <v>4</v>
      </c>
    </row>
    <row r="234">
      <c r="B234" s="12" t="n"/>
      <c r="C234" s="12" t="n"/>
      <c r="Q234" s="25" t="n"/>
    </row>
    <row r="235">
      <c r="B235" s="20" t="inlineStr">
        <is>
          <t>83. Люди считают, что я делаю слишком много для других и недостаточно для себя</t>
        </is>
      </c>
      <c r="C235" s="12" t="n"/>
      <c r="Q235" s="26" t="n">
        <v>6</v>
      </c>
    </row>
    <row r="236">
      <c r="B236" s="12" t="n"/>
      <c r="C236" s="12" t="n"/>
      <c r="Q236" s="25" t="n"/>
    </row>
    <row r="237">
      <c r="B237" s="20" t="inlineStr">
        <is>
          <t>84. Меня считают эмоционально зажатым и напряженным</t>
        </is>
      </c>
      <c r="C237" s="12" t="n"/>
      <c r="Q237" s="26" t="n">
        <v>4</v>
      </c>
    </row>
    <row r="238">
      <c r="B238" s="12" t="n"/>
      <c r="C238" s="12" t="n"/>
      <c r="Q238" s="25" t="n"/>
    </row>
    <row r="239">
      <c r="B239" s="20" t="inlineStr">
        <is>
          <t>85. Мне трудно снять с себя ответственность за что-либо или дать себе право на ошибку</t>
        </is>
      </c>
      <c r="C239" s="12" t="n"/>
      <c r="Q239" s="26" t="n">
        <v>4</v>
      </c>
    </row>
    <row r="240">
      <c r="B240" s="12" t="n"/>
      <c r="C240" s="12" t="n"/>
      <c r="Q240" s="25" t="n"/>
    </row>
    <row r="241">
      <c r="B241" s="20" t="inlineStr">
        <is>
          <t>86. То, что я предлагаю и делаю, является более ценным, чем вклад других людей</t>
        </is>
      </c>
      <c r="C241" s="12" t="n"/>
      <c r="Q241" s="26" t="n">
        <v>3</v>
      </c>
    </row>
    <row r="242">
      <c r="B242" s="12" t="n"/>
      <c r="C242" s="12" t="n"/>
      <c r="Q242" s="25" t="n"/>
    </row>
    <row r="243">
      <c r="B243" s="20" t="inlineStr">
        <is>
          <t>87. Мне редко удаётся сдерживать обещания, которые я даю самому себе</t>
        </is>
      </c>
      <c r="C243" s="12" t="n"/>
      <c r="Q243" s="26" t="n">
        <v>4</v>
      </c>
    </row>
    <row r="244">
      <c r="B244" s="12" t="n"/>
      <c r="C244" s="12" t="n"/>
      <c r="Q244" s="25" t="n"/>
    </row>
    <row r="245">
      <c r="B245" s="20" t="inlineStr">
        <is>
          <t>88. Я чувствую себя по-настоящему ценным человеком, когда меня хвалят или осыпают комплиментами</t>
        </is>
      </c>
      <c r="C245" s="12" t="n"/>
      <c r="Q245" s="26" t="n">
        <v>3</v>
      </c>
    </row>
    <row r="246">
      <c r="B246" s="12" t="n"/>
      <c r="C246" s="12" t="n"/>
      <c r="Q246" s="25" t="n"/>
    </row>
    <row r="247">
      <c r="B247" s="20" t="inlineStr">
        <is>
          <t>89. Я боюсь, что любое неправильное решение может привести к катастрофе</t>
        </is>
      </c>
      <c r="C247" s="12" t="n"/>
      <c r="Q247" s="26" t="n">
        <v>3</v>
      </c>
    </row>
    <row r="248">
      <c r="B248" s="12" t="n"/>
      <c r="C248" s="12" t="n"/>
      <c r="Q248" s="25" t="n"/>
    </row>
    <row r="249">
      <c r="B249" s="20" t="inlineStr">
        <is>
          <t>90. Я плохой человек, который заслуживает наказания</t>
        </is>
      </c>
      <c r="C249" s="12" t="n"/>
      <c r="Q249" s="26" t="n">
        <v>1</v>
      </c>
    </row>
    <row r="250">
      <c r="B250" s="12" t="n"/>
      <c r="C250" s="12" t="n"/>
      <c r="Q250" s="25" t="n"/>
    </row>
    <row r="251">
      <c r="B251" s="12" t="n"/>
      <c r="C251" s="12" t="n"/>
      <c r="Q251" s="12" t="n"/>
    </row>
    <row r="252" ht="18" customHeight="1" s="31">
      <c r="G252" s="46" t="inlineStr">
        <is>
          <t>Конец опросника</t>
        </is>
      </c>
      <c r="Q252" s="12" t="n"/>
    </row>
    <row r="253"/>
    <row r="254">
      <c r="G254" s="48" t="inlineStr">
        <is>
          <t>Теперь перейдите на вкладку "Результаты"</t>
        </is>
      </c>
    </row>
  </sheetData>
  <mergeCells count="9">
    <mergeCell ref="B14:H14"/>
    <mergeCell ref="E8:H8"/>
    <mergeCell ref="G252:L252"/>
    <mergeCell ref="E4:H4"/>
    <mergeCell ref="B12:H12"/>
    <mergeCell ref="E6:H6"/>
    <mergeCell ref="M2:P2"/>
    <mergeCell ref="G254:L254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21"/>
  <sheetViews>
    <sheetView zoomScale="113" zoomScaleNormal="70" workbookViewId="0">
      <selection activeCell="H2" sqref="H2"/>
    </sheetView>
  </sheetViews>
  <sheetFormatPr baseColWidth="8" defaultRowHeight="14.5"/>
  <cols>
    <col width="33.7265625" customWidth="1" style="31" min="2" max="2"/>
    <col width="8.81640625" customWidth="1" style="31" min="3" max="3"/>
    <col width="16.1796875" customWidth="1" style="31" min="4" max="4"/>
    <col width="9.453125" customWidth="1" style="31" min="5" max="5"/>
    <col width="17.54296875" customWidth="1" style="31" min="6" max="6"/>
    <col width="26.26953125" customWidth="1" style="31" min="7" max="7"/>
    <col width="26.7265625" customWidth="1" style="31" min="8" max="8"/>
    <col width="27.81640625" customWidth="1" style="31" min="9" max="9"/>
    <col width="25.453125" customWidth="1" style="31" min="10" max="10"/>
    <col width="16.453125" customWidth="1" style="31" min="11" max="11"/>
    <col width="18.54296875" customWidth="1" style="31" min="12" max="12"/>
    <col width="12" customWidth="1" style="31" min="13" max="13"/>
    <col width="17.26953125" customWidth="1" style="31" min="14" max="14"/>
    <col width="25.7265625" customWidth="1" style="31" min="15" max="15"/>
  </cols>
  <sheetData>
    <row r="2">
      <c r="B2" s="15" t="inlineStr">
        <is>
          <t>Имя:</t>
        </is>
      </c>
      <c r="C2" s="53">
        <f>Опросник!E2</f>
        <v/>
      </c>
      <c r="G2" s="15" t="inlineStr">
        <is>
          <t>Пол:</t>
        </is>
      </c>
      <c r="H2" s="53">
        <f>Опросник!M2</f>
        <v/>
      </c>
    </row>
    <row r="4">
      <c r="B4" s="15" t="inlineStr">
        <is>
          <t>Дата:</t>
        </is>
      </c>
      <c r="C4" s="54">
        <f>Опросник!E8</f>
        <v/>
      </c>
    </row>
    <row r="6">
      <c r="B6" s="28" t="inlineStr">
        <is>
          <t>№ вопроса</t>
        </is>
      </c>
      <c r="C6" s="28" t="inlineStr">
        <is>
          <t>Балл</t>
        </is>
      </c>
      <c r="D6" s="28" t="inlineStr">
        <is>
          <t>Схема</t>
        </is>
      </c>
      <c r="E6" s="29" t="n">
        <v>5</v>
      </c>
      <c r="F6" s="29" t="n">
        <v>6</v>
      </c>
      <c r="G6" s="28" t="inlineStr">
        <is>
          <t>5 или 6</t>
        </is>
      </c>
    </row>
    <row r="7">
      <c r="B7" s="35" t="n">
        <v>1</v>
      </c>
      <c r="C7" s="36">
        <f>Опросник!Q22</f>
        <v/>
      </c>
      <c r="D7" s="37" t="inlineStr">
        <is>
          <t>ЭД</t>
        </is>
      </c>
      <c r="E7" s="38">
        <f>IF(C7=5,1,0)</f>
        <v/>
      </c>
      <c r="F7" s="38">
        <f>IF(C7=6,1,0)</f>
        <v/>
      </c>
      <c r="G7" s="39">
        <f>E7+F7</f>
        <v/>
      </c>
    </row>
    <row r="8">
      <c r="B8" s="35" t="n">
        <v>2</v>
      </c>
      <c r="C8" s="36">
        <f>Опросник!Q24</f>
        <v/>
      </c>
      <c r="D8" s="37" t="inlineStr">
        <is>
          <t>ПН</t>
        </is>
      </c>
      <c r="E8" s="38">
        <f>IF(C8=5,1,0)</f>
        <v/>
      </c>
      <c r="F8" s="38">
        <f>IF(C8=6,1,0)</f>
        <v/>
      </c>
      <c r="G8" s="39">
        <f>E8+F8</f>
        <v/>
      </c>
    </row>
    <row r="9">
      <c r="B9" s="35" t="n">
        <v>3</v>
      </c>
      <c r="C9" s="36">
        <f>Опросник!Q26</f>
        <v/>
      </c>
      <c r="D9" s="37" t="inlineStr">
        <is>
          <t>НН</t>
        </is>
      </c>
      <c r="E9" s="38">
        <f>IF(C9=5,1,0)</f>
        <v/>
      </c>
      <c r="F9" s="38">
        <f>IF(C9=6,1,0)</f>
        <v/>
      </c>
      <c r="G9" s="39">
        <f>E9+F9</f>
        <v/>
      </c>
    </row>
    <row r="10">
      <c r="B10" s="35" t="n">
        <v>4</v>
      </c>
      <c r="C10" s="36">
        <f>Опросник!Q28</f>
        <v/>
      </c>
      <c r="D10" s="37" t="inlineStr">
        <is>
          <t>СИО</t>
        </is>
      </c>
      <c r="E10" s="38">
        <f>IF(C10=5,1,0)</f>
        <v/>
      </c>
      <c r="F10" s="38">
        <f>IF(C10=6,1,0)</f>
        <v/>
      </c>
      <c r="G10" s="39">
        <f>E10+F10</f>
        <v/>
      </c>
    </row>
    <row r="11">
      <c r="B11" s="35" t="n">
        <v>5</v>
      </c>
      <c r="C11" s="36">
        <f>Опросник!Q30</f>
        <v/>
      </c>
      <c r="D11" s="37" t="inlineStr">
        <is>
          <t>ДС</t>
        </is>
      </c>
      <c r="E11" s="38">
        <f>IF(C11=5,1,0)</f>
        <v/>
      </c>
      <c r="F11" s="38">
        <f>IF(C11=6,1,0)</f>
        <v/>
      </c>
      <c r="G11" s="39">
        <f>E11+F11</f>
        <v/>
      </c>
    </row>
    <row r="12">
      <c r="B12" s="35" t="n">
        <v>6</v>
      </c>
      <c r="C12" s="36">
        <f>Опросник!Q32</f>
        <v/>
      </c>
      <c r="D12" s="37" t="inlineStr">
        <is>
          <t>НО</t>
        </is>
      </c>
      <c r="E12" s="38">
        <f>IF(C12=5,1,0)</f>
        <v/>
      </c>
      <c r="F12" s="38">
        <f>IF(C12=6,1,0)</f>
        <v/>
      </c>
      <c r="G12" s="39">
        <f>E12+F12</f>
        <v/>
      </c>
    </row>
    <row r="13">
      <c r="B13" s="35" t="n">
        <v>7</v>
      </c>
      <c r="C13" s="36">
        <f>Опросник!Q34</f>
        <v/>
      </c>
      <c r="D13" s="37" t="inlineStr">
        <is>
          <t>ЗН</t>
        </is>
      </c>
      <c r="E13" s="38">
        <f>IF(C13=5,1,0)</f>
        <v/>
      </c>
      <c r="F13" s="38">
        <f>IF(C13=6,1,0)</f>
        <v/>
      </c>
      <c r="G13" s="39">
        <f>E13+F13</f>
        <v/>
      </c>
    </row>
    <row r="14">
      <c r="B14" s="35" t="n">
        <v>8</v>
      </c>
      <c r="C14" s="36">
        <f>Опросник!Q36</f>
        <v/>
      </c>
      <c r="D14" s="37" t="inlineStr">
        <is>
          <t>У</t>
        </is>
      </c>
      <c r="E14" s="38">
        <f>IF(C14=5,1,0)</f>
        <v/>
      </c>
      <c r="F14" s="38">
        <f>IF(C14=6,1,0)</f>
        <v/>
      </c>
      <c r="G14" s="39">
        <f>E14+F14</f>
        <v/>
      </c>
    </row>
    <row r="15">
      <c r="B15" s="35" t="n">
        <v>9</v>
      </c>
      <c r="C15" s="36">
        <f>Опросник!Q38</f>
        <v/>
      </c>
      <c r="D15" s="37" t="inlineStr">
        <is>
          <t>СДНЯ</t>
        </is>
      </c>
      <c r="E15" s="38">
        <f>IF(C15=5,1,0)</f>
        <v/>
      </c>
      <c r="F15" s="38">
        <f>IF(C15=6,1,0)</f>
        <v/>
      </c>
      <c r="G15" s="39">
        <f>E15+F15</f>
        <v/>
      </c>
    </row>
    <row r="16">
      <c r="B16" s="35" t="n">
        <v>10</v>
      </c>
      <c r="C16" s="36">
        <f>Опросник!Q40</f>
        <v/>
      </c>
      <c r="D16" s="37" t="inlineStr">
        <is>
          <t>ПП</t>
        </is>
      </c>
      <c r="E16" s="38">
        <f>IF(C16=5,1,0)</f>
        <v/>
      </c>
      <c r="F16" s="38">
        <f>IF(C16=6,1,0)</f>
        <v/>
      </c>
      <c r="G16" s="39">
        <f>E16+F16</f>
        <v/>
      </c>
    </row>
    <row r="17">
      <c r="B17" s="35" t="n">
        <v>11</v>
      </c>
      <c r="C17" s="36">
        <f>Опросник!Q42</f>
        <v/>
      </c>
      <c r="D17" s="37" t="inlineStr">
        <is>
          <t>С</t>
        </is>
      </c>
      <c r="E17" s="38">
        <f>IF(C17=5,1,0)</f>
        <v/>
      </c>
      <c r="F17" s="38">
        <f>IF(C17=6,1,0)</f>
        <v/>
      </c>
      <c r="G17" s="39">
        <f>E17+F17</f>
        <v/>
      </c>
    </row>
    <row r="18">
      <c r="B18" s="35" t="n">
        <v>12</v>
      </c>
      <c r="C18" s="36">
        <f>Опросник!Q51</f>
        <v/>
      </c>
      <c r="D18" s="37" t="inlineStr">
        <is>
          <t>ПЭ</t>
        </is>
      </c>
      <c r="E18" s="38">
        <f>IF(C18=5,1,0)</f>
        <v/>
      </c>
      <c r="F18" s="38">
        <f>IF(C18=6,1,0)</f>
        <v/>
      </c>
      <c r="G18" s="39">
        <f>E18+F18</f>
        <v/>
      </c>
    </row>
    <row r="19">
      <c r="B19" s="35" t="n">
        <v>13</v>
      </c>
      <c r="C19" s="36">
        <f>Опросник!Q53</f>
        <v/>
      </c>
      <c r="D19" s="37" t="inlineStr">
        <is>
          <t>ЖС</t>
        </is>
      </c>
      <c r="E19" s="38">
        <f>IF(C19=5,1,0)</f>
        <v/>
      </c>
      <c r="F19" s="38">
        <f>IF(C19=6,1,0)</f>
        <v/>
      </c>
      <c r="G19" s="39">
        <f>E19+F19</f>
        <v/>
      </c>
    </row>
    <row r="20">
      <c r="B20" s="35" t="n">
        <v>14</v>
      </c>
      <c r="C20" s="36">
        <f>Опросник!Q55</f>
        <v/>
      </c>
      <c r="D20" s="37" t="inlineStr">
        <is>
          <t>ПГ</t>
        </is>
      </c>
      <c r="E20" s="38">
        <f>IF(C20=5,1,0)</f>
        <v/>
      </c>
      <c r="F20" s="38">
        <f>IF(C20=6,1,0)</f>
        <v/>
      </c>
      <c r="G20" s="39">
        <f>E20+F20</f>
        <v/>
      </c>
    </row>
    <row r="21">
      <c r="B21" s="35" t="n">
        <v>15</v>
      </c>
      <c r="C21" s="36">
        <f>Опросник!Q57</f>
        <v/>
      </c>
      <c r="D21" s="37" t="inlineStr">
        <is>
          <t>НС</t>
        </is>
      </c>
      <c r="E21" s="38">
        <f>IF(C21=5,1,0)</f>
        <v/>
      </c>
      <c r="F21" s="38">
        <f>IF(C21=6,1,0)</f>
        <v/>
      </c>
      <c r="G21" s="39">
        <f>E21+F21</f>
        <v/>
      </c>
    </row>
    <row r="22">
      <c r="B22" s="35" t="n">
        <v>16</v>
      </c>
      <c r="C22" s="36">
        <f>Опросник!Q59</f>
        <v/>
      </c>
      <c r="D22" s="37" t="inlineStr">
        <is>
          <t>ПО</t>
        </is>
      </c>
      <c r="E22" s="38">
        <f>IF(C22=5,1,0)</f>
        <v/>
      </c>
      <c r="F22" s="38">
        <f>IF(C22=6,1,0)</f>
        <v/>
      </c>
      <c r="G22" s="39">
        <f>E22+F22</f>
        <v/>
      </c>
    </row>
    <row r="23">
      <c r="B23" s="35" t="n">
        <v>17</v>
      </c>
      <c r="C23" s="36">
        <f>Опросник!Q61</f>
        <v/>
      </c>
      <c r="D23" s="37" t="inlineStr">
        <is>
          <t>НП</t>
        </is>
      </c>
      <c r="E23" s="38">
        <f>IF(C23=5,1,0)</f>
        <v/>
      </c>
      <c r="F23" s="38">
        <f>IF(C23=6,1,0)</f>
        <v/>
      </c>
      <c r="G23" s="39">
        <f>E23+F23</f>
        <v/>
      </c>
    </row>
    <row r="24">
      <c r="B24" s="35" t="n">
        <v>18</v>
      </c>
      <c r="C24" s="36">
        <f>Опросник!Q63</f>
        <v/>
      </c>
      <c r="D24" s="37" t="inlineStr">
        <is>
          <t>ПК</t>
        </is>
      </c>
      <c r="E24" s="38">
        <f>IF(C24=5,1,0)</f>
        <v/>
      </c>
      <c r="F24" s="38">
        <f>IF(C24=6,1,0)</f>
        <v/>
      </c>
      <c r="G24" s="39">
        <f>E24+F24</f>
        <v/>
      </c>
    </row>
    <row r="25">
      <c r="B25" s="35" t="n">
        <v>19</v>
      </c>
      <c r="C25" s="36">
        <f>Опросник!Q65</f>
        <v/>
      </c>
      <c r="D25" s="37" t="inlineStr">
        <is>
          <t>ЭД</t>
        </is>
      </c>
      <c r="E25" s="38">
        <f>IF(C25=5,1,0)</f>
        <v/>
      </c>
      <c r="F25" s="38">
        <f>IF(C25=6,1,0)</f>
        <v/>
      </c>
      <c r="G25" s="39">
        <f>E25+F25</f>
        <v/>
      </c>
    </row>
    <row r="26">
      <c r="B26" s="35" t="n">
        <v>20</v>
      </c>
      <c r="C26" s="36">
        <f>Опросник!Q67</f>
        <v/>
      </c>
      <c r="D26" s="37" t="inlineStr">
        <is>
          <t>ПН</t>
        </is>
      </c>
      <c r="E26" s="38">
        <f>IF(C26=5,1,0)</f>
        <v/>
      </c>
      <c r="F26" s="38">
        <f>IF(C26=6,1,0)</f>
        <v/>
      </c>
      <c r="G26" s="39">
        <f>E26+F26</f>
        <v/>
      </c>
    </row>
    <row r="27">
      <c r="B27" s="35" t="n">
        <v>21</v>
      </c>
      <c r="C27" s="36">
        <f>Опросник!Q69</f>
        <v/>
      </c>
      <c r="D27" s="37" t="inlineStr">
        <is>
          <t>НН</t>
        </is>
      </c>
      <c r="E27" s="38">
        <f>IF(C27=5,1,0)</f>
        <v/>
      </c>
      <c r="F27" s="38">
        <f>IF(C27=6,1,0)</f>
        <v/>
      </c>
      <c r="G27" s="39">
        <f>E27+F27</f>
        <v/>
      </c>
    </row>
    <row r="28">
      <c r="B28" s="35" t="n">
        <v>22</v>
      </c>
      <c r="C28" s="36">
        <f>Опросник!Q71</f>
        <v/>
      </c>
      <c r="D28" s="37" t="inlineStr">
        <is>
          <t>СИО</t>
        </is>
      </c>
      <c r="E28" s="38">
        <f>IF(C28=5,1,0)</f>
        <v/>
      </c>
      <c r="F28" s="38">
        <f>IF(C28=6,1,0)</f>
        <v/>
      </c>
      <c r="G28" s="39">
        <f>E28+F28</f>
        <v/>
      </c>
    </row>
    <row r="29">
      <c r="B29" s="35" t="n">
        <v>23</v>
      </c>
      <c r="C29" s="36">
        <f>Опросник!Q80</f>
        <v/>
      </c>
      <c r="D29" s="37" t="inlineStr">
        <is>
          <t>ДС</t>
        </is>
      </c>
      <c r="E29" s="38">
        <f>IF(C29=5,1,0)</f>
        <v/>
      </c>
      <c r="F29" s="38">
        <f>IF(C29=6,1,0)</f>
        <v/>
      </c>
      <c r="G29" s="39">
        <f>E29+F29</f>
        <v/>
      </c>
    </row>
    <row r="30">
      <c r="B30" s="35" t="n">
        <v>24</v>
      </c>
      <c r="C30" s="36">
        <f>Опросник!Q82</f>
        <v/>
      </c>
      <c r="D30" s="37" t="inlineStr">
        <is>
          <t>НО</t>
        </is>
      </c>
      <c r="E30" s="38">
        <f>IF(C30=5,1,0)</f>
        <v/>
      </c>
      <c r="F30" s="38">
        <f>IF(C30=6,1,0)</f>
        <v/>
      </c>
      <c r="G30" s="39">
        <f>E30+F30</f>
        <v/>
      </c>
    </row>
    <row r="31">
      <c r="B31" s="35" t="n">
        <v>25</v>
      </c>
      <c r="C31" s="36">
        <f>Опросник!Q84</f>
        <v/>
      </c>
      <c r="D31" s="37" t="inlineStr">
        <is>
          <t>ЗН</t>
        </is>
      </c>
      <c r="E31" s="38">
        <f>IF(C31=5,1,0)</f>
        <v/>
      </c>
      <c r="F31" s="38">
        <f>IF(C31=6,1,0)</f>
        <v/>
      </c>
      <c r="G31" s="39">
        <f>E31+F31</f>
        <v/>
      </c>
    </row>
    <row r="32">
      <c r="B32" s="35" t="n">
        <v>26</v>
      </c>
      <c r="C32" s="36">
        <f>Опросник!Q86</f>
        <v/>
      </c>
      <c r="D32" s="37" t="inlineStr">
        <is>
          <t>У</t>
        </is>
      </c>
      <c r="E32" s="38">
        <f>IF(C32=5,1,0)</f>
        <v/>
      </c>
      <c r="F32" s="38">
        <f>IF(C32=6,1,0)</f>
        <v/>
      </c>
      <c r="G32" s="39">
        <f>E32+F32</f>
        <v/>
      </c>
    </row>
    <row r="33">
      <c r="B33" s="35" t="n">
        <v>27</v>
      </c>
      <c r="C33" s="36">
        <f>Опросник!Q88</f>
        <v/>
      </c>
      <c r="D33" s="37" t="inlineStr">
        <is>
          <t>СДНЯ</t>
        </is>
      </c>
      <c r="E33" s="38">
        <f>IF(C33=5,1,0)</f>
        <v/>
      </c>
      <c r="F33" s="38">
        <f>IF(C33=6,1,0)</f>
        <v/>
      </c>
      <c r="G33" s="39">
        <f>E33+F33</f>
        <v/>
      </c>
    </row>
    <row r="34">
      <c r="B34" s="35" t="n">
        <v>28</v>
      </c>
      <c r="C34" s="36">
        <f>Опросник!Q90</f>
        <v/>
      </c>
      <c r="D34" s="37" t="inlineStr">
        <is>
          <t>ПП</t>
        </is>
      </c>
      <c r="E34" s="38">
        <f>IF(C34=5,1,0)</f>
        <v/>
      </c>
      <c r="F34" s="38">
        <f>IF(C34=6,1,0)</f>
        <v/>
      </c>
      <c r="G34" s="39">
        <f>E34+F34</f>
        <v/>
      </c>
    </row>
    <row r="35">
      <c r="B35" s="35" t="n">
        <v>29</v>
      </c>
      <c r="C35" s="36">
        <f>Опросник!Q92</f>
        <v/>
      </c>
      <c r="D35" s="37" t="inlineStr">
        <is>
          <t>С</t>
        </is>
      </c>
      <c r="E35" s="38">
        <f>IF(C35=5,1,0)</f>
        <v/>
      </c>
      <c r="F35" s="38">
        <f>IF(C35=6,1,0)</f>
        <v/>
      </c>
      <c r="G35" s="39">
        <f>E35+F35</f>
        <v/>
      </c>
    </row>
    <row r="36">
      <c r="B36" s="35" t="n">
        <v>30</v>
      </c>
      <c r="C36" s="36">
        <f>Опросник!Q94</f>
        <v/>
      </c>
      <c r="D36" s="37" t="inlineStr">
        <is>
          <t>ПЭ</t>
        </is>
      </c>
      <c r="E36" s="38">
        <f>IF(C36=5,1,0)</f>
        <v/>
      </c>
      <c r="F36" s="38">
        <f>IF(C36=6,1,0)</f>
        <v/>
      </c>
      <c r="G36" s="39">
        <f>E36+F36</f>
        <v/>
      </c>
    </row>
    <row r="37">
      <c r="B37" s="35" t="n">
        <v>31</v>
      </c>
      <c r="C37" s="36">
        <f>Опросник!Q96</f>
        <v/>
      </c>
      <c r="D37" s="37" t="inlineStr">
        <is>
          <t>ЖС</t>
        </is>
      </c>
      <c r="E37" s="38">
        <f>IF(C37=5,1,0)</f>
        <v/>
      </c>
      <c r="F37" s="38">
        <f>IF(C37=6,1,0)</f>
        <v/>
      </c>
      <c r="G37" s="39">
        <f>E37+F37</f>
        <v/>
      </c>
    </row>
    <row r="38">
      <c r="B38" s="35" t="n">
        <v>32</v>
      </c>
      <c r="C38" s="36">
        <f>Опросник!Q98</f>
        <v/>
      </c>
      <c r="D38" s="37" t="inlineStr">
        <is>
          <t>ПГ</t>
        </is>
      </c>
      <c r="E38" s="38">
        <f>IF(C38=5,1,0)</f>
        <v/>
      </c>
      <c r="F38" s="38">
        <f>IF(C38=6,1,0)</f>
        <v/>
      </c>
      <c r="G38" s="39">
        <f>E38+F38</f>
        <v/>
      </c>
    </row>
    <row r="39">
      <c r="B39" s="35" t="n">
        <v>33</v>
      </c>
      <c r="C39" s="36">
        <f>Опросник!Q100</f>
        <v/>
      </c>
      <c r="D39" s="37" t="inlineStr">
        <is>
          <t>НС</t>
        </is>
      </c>
      <c r="E39" s="38">
        <f>IF(C39=5,1,0)</f>
        <v/>
      </c>
      <c r="F39" s="38">
        <f>IF(C39=6,1,0)</f>
        <v/>
      </c>
      <c r="G39" s="39">
        <f>E39+F39</f>
        <v/>
      </c>
    </row>
    <row r="40">
      <c r="B40" s="35" t="n">
        <v>34</v>
      </c>
      <c r="C40" s="36">
        <f>Опросник!Q109</f>
        <v/>
      </c>
      <c r="D40" s="37" t="inlineStr">
        <is>
          <t>ПО</t>
        </is>
      </c>
      <c r="E40" s="38">
        <f>IF(C40=5,1,0)</f>
        <v/>
      </c>
      <c r="F40" s="38">
        <f>IF(C40=6,1,0)</f>
        <v/>
      </c>
      <c r="G40" s="39">
        <f>E40+F40</f>
        <v/>
      </c>
    </row>
    <row r="41">
      <c r="B41" s="35" t="n">
        <v>35</v>
      </c>
      <c r="C41" s="36">
        <f>Опросник!Q111</f>
        <v/>
      </c>
      <c r="D41" s="37" t="inlineStr">
        <is>
          <t>НП</t>
        </is>
      </c>
      <c r="E41" s="38">
        <f>IF(C41=5,1,0)</f>
        <v/>
      </c>
      <c r="F41" s="38">
        <f>IF(C41=6,1,0)</f>
        <v/>
      </c>
      <c r="G41" s="39">
        <f>E41+F41</f>
        <v/>
      </c>
    </row>
    <row r="42">
      <c r="B42" s="35" t="n">
        <v>36</v>
      </c>
      <c r="C42" s="36">
        <f>Опросник!Q113</f>
        <v/>
      </c>
      <c r="D42" s="37" t="inlineStr">
        <is>
          <t>ПК</t>
        </is>
      </c>
      <c r="E42" s="38">
        <f>IF(C42=5,1,0)</f>
        <v/>
      </c>
      <c r="F42" s="38">
        <f>IF(C42=6,1,0)</f>
        <v/>
      </c>
      <c r="G42" s="39">
        <f>E42+F42</f>
        <v/>
      </c>
    </row>
    <row r="43">
      <c r="B43" s="35" t="n">
        <v>37</v>
      </c>
      <c r="C43" s="36">
        <f>Опросник!Q115</f>
        <v/>
      </c>
      <c r="D43" s="37" t="inlineStr">
        <is>
          <t>ЭД</t>
        </is>
      </c>
      <c r="E43" s="38">
        <f>IF(C43=5,1,0)</f>
        <v/>
      </c>
      <c r="F43" s="38">
        <f>IF(C43=6,1,0)</f>
        <v/>
      </c>
      <c r="G43" s="39">
        <f>E43+F43</f>
        <v/>
      </c>
    </row>
    <row r="44">
      <c r="B44" s="35" t="n">
        <v>38</v>
      </c>
      <c r="C44" s="36">
        <f>Опросник!Q117</f>
        <v/>
      </c>
      <c r="D44" s="37" t="inlineStr">
        <is>
          <t>ПН</t>
        </is>
      </c>
      <c r="E44" s="38">
        <f>IF(C44=5,1,0)</f>
        <v/>
      </c>
      <c r="F44" s="38">
        <f>IF(C44=6,1,0)</f>
        <v/>
      </c>
      <c r="G44" s="39">
        <f>E44+F44</f>
        <v/>
      </c>
    </row>
    <row r="45">
      <c r="B45" s="35" t="n">
        <v>39</v>
      </c>
      <c r="C45" s="36">
        <f>Опросник!Q119</f>
        <v/>
      </c>
      <c r="D45" s="37" t="inlineStr">
        <is>
          <t>НН</t>
        </is>
      </c>
      <c r="E45" s="38">
        <f>IF(C45=5,1,0)</f>
        <v/>
      </c>
      <c r="F45" s="38">
        <f>IF(C45=6,1,0)</f>
        <v/>
      </c>
      <c r="G45" s="39">
        <f>E45+F45</f>
        <v/>
      </c>
    </row>
    <row r="46">
      <c r="B46" s="35" t="n">
        <v>40</v>
      </c>
      <c r="C46" s="36">
        <f>Опросник!Q121</f>
        <v/>
      </c>
      <c r="D46" s="37" t="inlineStr">
        <is>
          <t>СИО</t>
        </is>
      </c>
      <c r="E46" s="38">
        <f>IF(C46=5,1,0)</f>
        <v/>
      </c>
      <c r="F46" s="38">
        <f>IF(C46=6,1,0)</f>
        <v/>
      </c>
      <c r="G46" s="39">
        <f>E46+F46</f>
        <v/>
      </c>
    </row>
    <row r="47">
      <c r="B47" s="35" t="n">
        <v>41</v>
      </c>
      <c r="C47" s="36">
        <f>Опросник!Q123</f>
        <v/>
      </c>
      <c r="D47" s="37" t="inlineStr">
        <is>
          <t>ДС</t>
        </is>
      </c>
      <c r="E47" s="38">
        <f>IF(C47=5,1,0)</f>
        <v/>
      </c>
      <c r="F47" s="38">
        <f>IF(C47=6,1,0)</f>
        <v/>
      </c>
      <c r="G47" s="39">
        <f>E47+F47</f>
        <v/>
      </c>
    </row>
    <row r="48">
      <c r="B48" s="35" t="n">
        <v>42</v>
      </c>
      <c r="C48" s="36">
        <f>Опросник!Q125</f>
        <v/>
      </c>
      <c r="D48" s="37" t="inlineStr">
        <is>
          <t>НО</t>
        </is>
      </c>
      <c r="E48" s="38">
        <f>IF(C48=5,1,0)</f>
        <v/>
      </c>
      <c r="F48" s="38">
        <f>IF(C48=6,1,0)</f>
        <v/>
      </c>
      <c r="G48" s="39">
        <f>E48+F48</f>
        <v/>
      </c>
    </row>
    <row r="49">
      <c r="B49" s="35" t="n">
        <v>43</v>
      </c>
      <c r="C49" s="36">
        <f>Опросник!Q127</f>
        <v/>
      </c>
      <c r="D49" s="37" t="inlineStr">
        <is>
          <t>ЗН</t>
        </is>
      </c>
      <c r="E49" s="38">
        <f>IF(C49=5,1,0)</f>
        <v/>
      </c>
      <c r="F49" s="38">
        <f>IF(C49=6,1,0)</f>
        <v/>
      </c>
      <c r="G49" s="39">
        <f>E49+F49</f>
        <v/>
      </c>
    </row>
    <row r="50">
      <c r="B50" s="35" t="n">
        <v>44</v>
      </c>
      <c r="C50" s="36">
        <f>Опросник!Q129</f>
        <v/>
      </c>
      <c r="D50" s="37" t="inlineStr">
        <is>
          <t>У</t>
        </is>
      </c>
      <c r="E50" s="38">
        <f>IF(C50=5,1,0)</f>
        <v/>
      </c>
      <c r="F50" s="38">
        <f>IF(C50=6,1,0)</f>
        <v/>
      </c>
      <c r="G50" s="39">
        <f>E50+F50</f>
        <v/>
      </c>
    </row>
    <row r="51">
      <c r="B51" s="35" t="n">
        <v>45</v>
      </c>
      <c r="C51" s="36">
        <f>Опросник!Q138</f>
        <v/>
      </c>
      <c r="D51" s="37" t="inlineStr">
        <is>
          <t>СДНЯ</t>
        </is>
      </c>
      <c r="E51" s="38">
        <f>IF(C51=5,1,0)</f>
        <v/>
      </c>
      <c r="F51" s="38">
        <f>IF(C51=6,1,0)</f>
        <v/>
      </c>
      <c r="G51" s="39">
        <f>E51+F51</f>
        <v/>
      </c>
    </row>
    <row r="52">
      <c r="B52" s="35" t="n">
        <v>46</v>
      </c>
      <c r="C52" s="36">
        <f>Опросник!Q140</f>
        <v/>
      </c>
      <c r="D52" s="37" t="inlineStr">
        <is>
          <t>ПП</t>
        </is>
      </c>
      <c r="E52" s="38">
        <f>IF(C52=5,1,0)</f>
        <v/>
      </c>
      <c r="F52" s="38">
        <f>IF(C52=6,1,0)</f>
        <v/>
      </c>
      <c r="G52" s="39">
        <f>E52+F52</f>
        <v/>
      </c>
    </row>
    <row r="53">
      <c r="B53" s="35" t="n">
        <v>47</v>
      </c>
      <c r="C53" s="36">
        <f>Опросник!Q142</f>
        <v/>
      </c>
      <c r="D53" s="37" t="inlineStr">
        <is>
          <t>С</t>
        </is>
      </c>
      <c r="E53" s="38">
        <f>IF(C53=5,1,0)</f>
        <v/>
      </c>
      <c r="F53" s="38">
        <f>IF(C53=6,1,0)</f>
        <v/>
      </c>
      <c r="G53" s="39">
        <f>E53+F53</f>
        <v/>
      </c>
    </row>
    <row r="54">
      <c r="B54" s="35" t="n">
        <v>48</v>
      </c>
      <c r="C54" s="36">
        <f>Опросник!Q144</f>
        <v/>
      </c>
      <c r="D54" s="37" t="inlineStr">
        <is>
          <t>ПЭ</t>
        </is>
      </c>
      <c r="E54" s="38">
        <f>IF(C54=5,1,0)</f>
        <v/>
      </c>
      <c r="F54" s="38">
        <f>IF(C54=6,1,0)</f>
        <v/>
      </c>
      <c r="G54" s="39">
        <f>E54+F54</f>
        <v/>
      </c>
    </row>
    <row r="55">
      <c r="B55" s="35" t="n">
        <v>49</v>
      </c>
      <c r="C55" s="36">
        <f>Опросник!Q146</f>
        <v/>
      </c>
      <c r="D55" s="37" t="inlineStr">
        <is>
          <t>ЖС</t>
        </is>
      </c>
      <c r="E55" s="38">
        <f>IF(C55=5,1,0)</f>
        <v/>
      </c>
      <c r="F55" s="38">
        <f>IF(C55=6,1,0)</f>
        <v/>
      </c>
      <c r="G55" s="39">
        <f>E55+F55</f>
        <v/>
      </c>
    </row>
    <row r="56">
      <c r="B56" s="35" t="n">
        <v>50</v>
      </c>
      <c r="C56" s="36">
        <f>Опросник!Q148</f>
        <v/>
      </c>
      <c r="D56" s="37" t="inlineStr">
        <is>
          <t>ПГ</t>
        </is>
      </c>
      <c r="E56" s="38">
        <f>IF(C56=5,1,0)</f>
        <v/>
      </c>
      <c r="F56" s="38">
        <f>IF(C56=6,1,0)</f>
        <v/>
      </c>
      <c r="G56" s="39">
        <f>E56+F56</f>
        <v/>
      </c>
    </row>
    <row r="57">
      <c r="B57" s="35" t="n">
        <v>51</v>
      </c>
      <c r="C57" s="36">
        <f>Опросник!Q150</f>
        <v/>
      </c>
      <c r="D57" s="37" t="inlineStr">
        <is>
          <t>НС</t>
        </is>
      </c>
      <c r="E57" s="38">
        <f>IF(C57=5,1,0)</f>
        <v/>
      </c>
      <c r="F57" s="38">
        <f>IF(C57=6,1,0)</f>
        <v/>
      </c>
      <c r="G57" s="39">
        <f>E57+F57</f>
        <v/>
      </c>
    </row>
    <row r="58">
      <c r="B58" s="35" t="n">
        <v>52</v>
      </c>
      <c r="C58" s="36">
        <f>Опросник!Q152</f>
        <v/>
      </c>
      <c r="D58" s="37" t="inlineStr">
        <is>
          <t>ПО</t>
        </is>
      </c>
      <c r="E58" s="38">
        <f>IF(C58=5,1,0)</f>
        <v/>
      </c>
      <c r="F58" s="38">
        <f>IF(C58=6,1,0)</f>
        <v/>
      </c>
      <c r="G58" s="39">
        <f>E58+F58</f>
        <v/>
      </c>
    </row>
    <row r="59">
      <c r="B59" s="35" t="n">
        <v>53</v>
      </c>
      <c r="C59" s="36">
        <f>Опросник!Q154</f>
        <v/>
      </c>
      <c r="D59" s="37" t="inlineStr">
        <is>
          <t>НП</t>
        </is>
      </c>
      <c r="E59" s="38">
        <f>IF(C59=5,1,0)</f>
        <v/>
      </c>
      <c r="F59" s="38">
        <f>IF(C59=6,1,0)</f>
        <v/>
      </c>
      <c r="G59" s="39">
        <f>E59+F59</f>
        <v/>
      </c>
    </row>
    <row r="60">
      <c r="B60" s="35" t="n">
        <v>54</v>
      </c>
      <c r="C60" s="36">
        <f>Опросник!Q156</f>
        <v/>
      </c>
      <c r="D60" s="37" t="inlineStr">
        <is>
          <t>ПК</t>
        </is>
      </c>
      <c r="E60" s="38">
        <f>IF(C60=5,1,0)</f>
        <v/>
      </c>
      <c r="F60" s="38">
        <f>IF(C60=6,1,0)</f>
        <v/>
      </c>
      <c r="G60" s="39">
        <f>E60+F60</f>
        <v/>
      </c>
    </row>
    <row r="61">
      <c r="B61" s="35" t="n">
        <v>55</v>
      </c>
      <c r="C61" s="36">
        <f>Опросник!Q158</f>
        <v/>
      </c>
      <c r="D61" s="37" t="inlineStr">
        <is>
          <t>ЭД</t>
        </is>
      </c>
      <c r="E61" s="38">
        <f>IF(C61=5,1,0)</f>
        <v/>
      </c>
      <c r="F61" s="38">
        <f>IF(C61=6,1,0)</f>
        <v/>
      </c>
      <c r="G61" s="39">
        <f>E61+F61</f>
        <v/>
      </c>
    </row>
    <row r="62">
      <c r="B62" s="35" t="n">
        <v>56</v>
      </c>
      <c r="C62" s="36">
        <f>Опросник!Q167</f>
        <v/>
      </c>
      <c r="D62" s="37" t="inlineStr">
        <is>
          <t>ПН</t>
        </is>
      </c>
      <c r="E62" s="38">
        <f>IF(C62=5,1,0)</f>
        <v/>
      </c>
      <c r="F62" s="38">
        <f>IF(C62=6,1,0)</f>
        <v/>
      </c>
      <c r="G62" s="39">
        <f>E62+F62</f>
        <v/>
      </c>
    </row>
    <row r="63">
      <c r="B63" s="35" t="n">
        <v>57</v>
      </c>
      <c r="C63" s="36">
        <f>Опросник!Q169</f>
        <v/>
      </c>
      <c r="D63" s="37" t="inlineStr">
        <is>
          <t>НН</t>
        </is>
      </c>
      <c r="E63" s="38">
        <f>IF(C63=5,1,0)</f>
        <v/>
      </c>
      <c r="F63" s="38">
        <f>IF(C63=6,1,0)</f>
        <v/>
      </c>
      <c r="G63" s="39">
        <f>E63+F63</f>
        <v/>
      </c>
    </row>
    <row r="64">
      <c r="B64" s="35" t="n">
        <v>58</v>
      </c>
      <c r="C64" s="36">
        <f>Опросник!Q171</f>
        <v/>
      </c>
      <c r="D64" s="37" t="inlineStr">
        <is>
          <t>СИО</t>
        </is>
      </c>
      <c r="E64" s="38">
        <f>IF(C64=5,1,0)</f>
        <v/>
      </c>
      <c r="F64" s="38">
        <f>IF(C64=6,1,0)</f>
        <v/>
      </c>
      <c r="G64" s="39">
        <f>E64+F64</f>
        <v/>
      </c>
    </row>
    <row r="65">
      <c r="B65" s="35" t="n">
        <v>59</v>
      </c>
      <c r="C65" s="36">
        <f>Опросник!Q173</f>
        <v/>
      </c>
      <c r="D65" s="37" t="inlineStr">
        <is>
          <t>ДС</t>
        </is>
      </c>
      <c r="E65" s="38">
        <f>IF(C65=5,1,0)</f>
        <v/>
      </c>
      <c r="F65" s="38">
        <f>IF(C65=6,1,0)</f>
        <v/>
      </c>
      <c r="G65" s="39">
        <f>E65+F65</f>
        <v/>
      </c>
    </row>
    <row r="66">
      <c r="B66" s="35" t="n">
        <v>60</v>
      </c>
      <c r="C66" s="36">
        <f>Опросник!Q175</f>
        <v/>
      </c>
      <c r="D66" s="37" t="inlineStr">
        <is>
          <t>НО</t>
        </is>
      </c>
      <c r="E66" s="38">
        <f>IF(C66=5,1,0)</f>
        <v/>
      </c>
      <c r="F66" s="38">
        <f>IF(C66=6,1,0)</f>
        <v/>
      </c>
      <c r="G66" s="39">
        <f>E66+F66</f>
        <v/>
      </c>
    </row>
    <row r="67">
      <c r="B67" s="35" t="n">
        <v>61</v>
      </c>
      <c r="C67" s="36">
        <f>Опросник!Q177</f>
        <v/>
      </c>
      <c r="D67" s="37" t="inlineStr">
        <is>
          <t>ЗН</t>
        </is>
      </c>
      <c r="E67" s="38">
        <f>IF(C67=5,1,0)</f>
        <v/>
      </c>
      <c r="F67" s="38">
        <f>IF(C67=6,1,0)</f>
        <v/>
      </c>
      <c r="G67" s="39">
        <f>E67+F67</f>
        <v/>
      </c>
    </row>
    <row r="68">
      <c r="B68" s="35" t="n">
        <v>62</v>
      </c>
      <c r="C68" s="36">
        <f>Опросник!Q179</f>
        <v/>
      </c>
      <c r="D68" s="37" t="inlineStr">
        <is>
          <t>У</t>
        </is>
      </c>
      <c r="E68" s="38">
        <f>IF(C68=5,1,0)</f>
        <v/>
      </c>
      <c r="F68" s="38">
        <f>IF(C68=6,1,0)</f>
        <v/>
      </c>
      <c r="G68" s="39">
        <f>E68+F68</f>
        <v/>
      </c>
    </row>
    <row r="69">
      <c r="B69" s="35" t="n">
        <v>63</v>
      </c>
      <c r="C69" s="36">
        <f>Опросник!Q181</f>
        <v/>
      </c>
      <c r="D69" s="37" t="inlineStr">
        <is>
          <t>СДНЯ</t>
        </is>
      </c>
      <c r="E69" s="38">
        <f>IF(C69=5,1,0)</f>
        <v/>
      </c>
      <c r="F69" s="38">
        <f>IF(C69=6,1,0)</f>
        <v/>
      </c>
      <c r="G69" s="39">
        <f>E69+F69</f>
        <v/>
      </c>
    </row>
    <row r="70">
      <c r="B70" s="35" t="n">
        <v>64</v>
      </c>
      <c r="C70" s="36">
        <f>Опросник!Q183</f>
        <v/>
      </c>
      <c r="D70" s="37" t="inlineStr">
        <is>
          <t>ПП</t>
        </is>
      </c>
      <c r="E70" s="38">
        <f>IF(C70=5,1,0)</f>
        <v/>
      </c>
      <c r="F70" s="38">
        <f>IF(C70=6,1,0)</f>
        <v/>
      </c>
      <c r="G70" s="39">
        <f>E70+F70</f>
        <v/>
      </c>
    </row>
    <row r="71">
      <c r="B71" s="35" t="n">
        <v>65</v>
      </c>
      <c r="C71" s="36">
        <f>Опросник!Q185</f>
        <v/>
      </c>
      <c r="D71" s="37" t="inlineStr">
        <is>
          <t>С</t>
        </is>
      </c>
      <c r="E71" s="38">
        <f>IF(C71=5,1,0)</f>
        <v/>
      </c>
      <c r="F71" s="38">
        <f>IF(C71=6,1,0)</f>
        <v/>
      </c>
      <c r="G71" s="39">
        <f>E71+F71</f>
        <v/>
      </c>
    </row>
    <row r="72">
      <c r="B72" s="35" t="n">
        <v>66</v>
      </c>
      <c r="C72" s="36">
        <f>Опросник!Q187</f>
        <v/>
      </c>
      <c r="D72" s="37" t="inlineStr">
        <is>
          <t>ПЭ</t>
        </is>
      </c>
      <c r="E72" s="38">
        <f>IF(C72=5,1,0)</f>
        <v/>
      </c>
      <c r="F72" s="38">
        <f>IF(C72=6,1,0)</f>
        <v/>
      </c>
      <c r="G72" s="39">
        <f>E72+F72</f>
        <v/>
      </c>
    </row>
    <row r="73">
      <c r="B73" s="35" t="n">
        <v>67</v>
      </c>
      <c r="C73" s="36">
        <f>Опросник!Q196</f>
        <v/>
      </c>
      <c r="D73" s="37" t="inlineStr">
        <is>
          <t>ЖС</t>
        </is>
      </c>
      <c r="E73" s="38">
        <f>IF(C73=5,1,0)</f>
        <v/>
      </c>
      <c r="F73" s="38">
        <f>IF(C73=6,1,0)</f>
        <v/>
      </c>
      <c r="G73" s="39">
        <f>E73+F73</f>
        <v/>
      </c>
    </row>
    <row r="74">
      <c r="B74" s="35" t="n">
        <v>68</v>
      </c>
      <c r="C74" s="36">
        <f>Опросник!Q198</f>
        <v/>
      </c>
      <c r="D74" s="37" t="inlineStr">
        <is>
          <t>ПГ</t>
        </is>
      </c>
      <c r="E74" s="38">
        <f>IF(C74=5,1,0)</f>
        <v/>
      </c>
      <c r="F74" s="38">
        <f>IF(C74=6,1,0)</f>
        <v/>
      </c>
      <c r="G74" s="39">
        <f>E74+F74</f>
        <v/>
      </c>
    </row>
    <row r="75">
      <c r="B75" s="35" t="n">
        <v>69</v>
      </c>
      <c r="C75" s="36">
        <f>Опросник!Q200</f>
        <v/>
      </c>
      <c r="D75" s="37" t="inlineStr">
        <is>
          <t>НС</t>
        </is>
      </c>
      <c r="E75" s="38">
        <f>IF(C75=5,1,0)</f>
        <v/>
      </c>
      <c r="F75" s="38">
        <f>IF(C75=6,1,0)</f>
        <v/>
      </c>
      <c r="G75" s="39">
        <f>E75+F75</f>
        <v/>
      </c>
    </row>
    <row r="76">
      <c r="B76" s="35" t="n">
        <v>70</v>
      </c>
      <c r="C76" s="36">
        <f>Опросник!Q202</f>
        <v/>
      </c>
      <c r="D76" s="37" t="inlineStr">
        <is>
          <t>ПО</t>
        </is>
      </c>
      <c r="E76" s="38">
        <f>IF(C76=5,1,0)</f>
        <v/>
      </c>
      <c r="F76" s="38">
        <f>IF(C76=6,1,0)</f>
        <v/>
      </c>
      <c r="G76" s="39">
        <f>E76+F76</f>
        <v/>
      </c>
    </row>
    <row r="77">
      <c r="B77" s="35" t="n">
        <v>71</v>
      </c>
      <c r="C77" s="36">
        <f>Опросник!Q204</f>
        <v/>
      </c>
      <c r="D77" s="37" t="inlineStr">
        <is>
          <t>НП</t>
        </is>
      </c>
      <c r="E77" s="38">
        <f>IF(C77=5,1,0)</f>
        <v/>
      </c>
      <c r="F77" s="38">
        <f>IF(C77=6,1,0)</f>
        <v/>
      </c>
      <c r="G77" s="39">
        <f>E77+F77</f>
        <v/>
      </c>
    </row>
    <row r="78">
      <c r="B78" s="35" t="n">
        <v>72</v>
      </c>
      <c r="C78" s="36">
        <f>Опросник!Q206</f>
        <v/>
      </c>
      <c r="D78" s="37" t="inlineStr">
        <is>
          <t>ПК</t>
        </is>
      </c>
      <c r="E78" s="38">
        <f>IF(C78=5,1,0)</f>
        <v/>
      </c>
      <c r="F78" s="38">
        <f>IF(C78=6,1,0)</f>
        <v/>
      </c>
      <c r="G78" s="39">
        <f>E78+F78</f>
        <v/>
      </c>
    </row>
    <row r="79">
      <c r="B79" s="35" t="n">
        <v>73</v>
      </c>
      <c r="C79" s="36">
        <f>Опросник!Q208</f>
        <v/>
      </c>
      <c r="D79" s="37" t="inlineStr">
        <is>
          <t>ЭД</t>
        </is>
      </c>
      <c r="E79" s="38">
        <f>IF(C79=5,1,0)</f>
        <v/>
      </c>
      <c r="F79" s="38">
        <f>IF(C79=6,1,0)</f>
        <v/>
      </c>
      <c r="G79" s="39">
        <f>E79+F79</f>
        <v/>
      </c>
    </row>
    <row r="80">
      <c r="B80" s="35" t="n">
        <v>74</v>
      </c>
      <c r="C80" s="36">
        <f>Опросник!Q210</f>
        <v/>
      </c>
      <c r="D80" s="37" t="inlineStr">
        <is>
          <t>ПН</t>
        </is>
      </c>
      <c r="E80" s="38">
        <f>IF(C80=5,1,0)</f>
        <v/>
      </c>
      <c r="F80" s="38">
        <f>IF(C80=6,1,0)</f>
        <v/>
      </c>
      <c r="G80" s="39">
        <f>E80+F80</f>
        <v/>
      </c>
    </row>
    <row r="81">
      <c r="B81" s="35" t="n">
        <v>75</v>
      </c>
      <c r="C81" s="36">
        <f>Опросник!Q212</f>
        <v/>
      </c>
      <c r="D81" s="37" t="inlineStr">
        <is>
          <t>НН</t>
        </is>
      </c>
      <c r="E81" s="38">
        <f>IF(C81=5,1,0)</f>
        <v/>
      </c>
      <c r="F81" s="38">
        <f>IF(C81=6,1,0)</f>
        <v/>
      </c>
      <c r="G81" s="39">
        <f>E81+F81</f>
        <v/>
      </c>
    </row>
    <row r="82">
      <c r="B82" s="35" t="n">
        <v>76</v>
      </c>
      <c r="C82" s="36">
        <f>Опросник!Q214</f>
        <v/>
      </c>
      <c r="D82" s="37" t="inlineStr">
        <is>
          <t>СИО</t>
        </is>
      </c>
      <c r="E82" s="38">
        <f>IF(C82=5,1,0)</f>
        <v/>
      </c>
      <c r="F82" s="38">
        <f>IF(C82=6,1,0)</f>
        <v/>
      </c>
      <c r="G82" s="39">
        <f>E82+F82</f>
        <v/>
      </c>
    </row>
    <row r="83">
      <c r="B83" s="35" t="n">
        <v>77</v>
      </c>
      <c r="C83" s="36">
        <f>Опросник!Q216</f>
        <v/>
      </c>
      <c r="D83" s="37" t="inlineStr">
        <is>
          <t>ДС</t>
        </is>
      </c>
      <c r="E83" s="38">
        <f>IF(C83=5,1,0)</f>
        <v/>
      </c>
      <c r="F83" s="38">
        <f>IF(C83=6,1,0)</f>
        <v/>
      </c>
      <c r="G83" s="39">
        <f>E83+F83</f>
        <v/>
      </c>
    </row>
    <row r="84">
      <c r="B84" s="35" t="n">
        <v>78</v>
      </c>
      <c r="C84" s="36">
        <f>Опросник!Q225</f>
        <v/>
      </c>
      <c r="D84" s="37" t="inlineStr">
        <is>
          <t>НО</t>
        </is>
      </c>
      <c r="E84" s="38">
        <f>IF(C84=5,1,0)</f>
        <v/>
      </c>
      <c r="F84" s="38">
        <f>IF(C84=6,1,0)</f>
        <v/>
      </c>
      <c r="G84" s="39">
        <f>E84+F84</f>
        <v/>
      </c>
    </row>
    <row r="85">
      <c r="B85" s="35" t="n">
        <v>79</v>
      </c>
      <c r="C85" s="36">
        <f>Опросник!Q227</f>
        <v/>
      </c>
      <c r="D85" s="37" t="inlineStr">
        <is>
          <t>ЗН</t>
        </is>
      </c>
      <c r="E85" s="38">
        <f>IF(C85=5,1,0)</f>
        <v/>
      </c>
      <c r="F85" s="38">
        <f>IF(C85=6,1,0)</f>
        <v/>
      </c>
      <c r="G85" s="39">
        <f>E85+F85</f>
        <v/>
      </c>
    </row>
    <row r="86">
      <c r="B86" s="35" t="n">
        <v>80</v>
      </c>
      <c r="C86" s="36">
        <f>Опросник!Q229</f>
        <v/>
      </c>
      <c r="D86" s="37" t="inlineStr">
        <is>
          <t>У</t>
        </is>
      </c>
      <c r="E86" s="38">
        <f>IF(C86=5,1,0)</f>
        <v/>
      </c>
      <c r="F86" s="38">
        <f>IF(C86=6,1,0)</f>
        <v/>
      </c>
      <c r="G86" s="39">
        <f>E86+F86</f>
        <v/>
      </c>
    </row>
    <row r="87">
      <c r="B87" s="35" t="n">
        <v>81</v>
      </c>
      <c r="C87" s="36">
        <f>Опросник!Q231</f>
        <v/>
      </c>
      <c r="D87" s="37" t="inlineStr">
        <is>
          <t>СДНЯ</t>
        </is>
      </c>
      <c r="E87" s="38">
        <f>IF(C87=5,1,0)</f>
        <v/>
      </c>
      <c r="F87" s="38">
        <f>IF(C87=6,1,0)</f>
        <v/>
      </c>
      <c r="G87" s="39">
        <f>E87+F87</f>
        <v/>
      </c>
    </row>
    <row r="88">
      <c r="B88" s="35" t="n">
        <v>82</v>
      </c>
      <c r="C88" s="36">
        <f>Опросник!Q233</f>
        <v/>
      </c>
      <c r="D88" s="37" t="inlineStr">
        <is>
          <t>ПП</t>
        </is>
      </c>
      <c r="E88" s="38">
        <f>IF(C88=5,1,0)</f>
        <v/>
      </c>
      <c r="F88" s="38">
        <f>IF(C88=6,1,0)</f>
        <v/>
      </c>
      <c r="G88" s="39">
        <f>E88+F88</f>
        <v/>
      </c>
    </row>
    <row r="89">
      <c r="B89" s="35" t="n">
        <v>83</v>
      </c>
      <c r="C89" s="36">
        <f>Опросник!Q235</f>
        <v/>
      </c>
      <c r="D89" s="37" t="inlineStr">
        <is>
          <t>С</t>
        </is>
      </c>
      <c r="E89" s="38">
        <f>IF(C89=5,1,0)</f>
        <v/>
      </c>
      <c r="F89" s="38">
        <f>IF(C89=6,1,0)</f>
        <v/>
      </c>
      <c r="G89" s="39">
        <f>E89+F89</f>
        <v/>
      </c>
    </row>
    <row r="90">
      <c r="B90" s="35" t="n">
        <v>84</v>
      </c>
      <c r="C90" s="36">
        <f>Опросник!Q237</f>
        <v/>
      </c>
      <c r="D90" s="37" t="inlineStr">
        <is>
          <t>ПЭ</t>
        </is>
      </c>
      <c r="E90" s="38">
        <f>IF(C90=5,1,0)</f>
        <v/>
      </c>
      <c r="F90" s="38">
        <f>IF(C90=6,1,0)</f>
        <v/>
      </c>
      <c r="G90" s="39">
        <f>E90+F90</f>
        <v/>
      </c>
    </row>
    <row r="91">
      <c r="B91" s="35" t="n">
        <v>85</v>
      </c>
      <c r="C91" s="36">
        <f>Опросник!Q239</f>
        <v/>
      </c>
      <c r="D91" s="37" t="inlineStr">
        <is>
          <t>ЖС</t>
        </is>
      </c>
      <c r="E91" s="38">
        <f>IF(C91=5,1,0)</f>
        <v/>
      </c>
      <c r="F91" s="38">
        <f>IF(C91=6,1,0)</f>
        <v/>
      </c>
      <c r="G91" s="39">
        <f>E91+F91</f>
        <v/>
      </c>
    </row>
    <row r="92">
      <c r="B92" s="35" t="n">
        <v>86</v>
      </c>
      <c r="C92" s="36">
        <f>Опросник!Q241</f>
        <v/>
      </c>
      <c r="D92" s="37" t="inlineStr">
        <is>
          <t>ПГ</t>
        </is>
      </c>
      <c r="E92" s="38">
        <f>IF(C92=5,1,0)</f>
        <v/>
      </c>
      <c r="F92" s="38">
        <f>IF(C92=6,1,0)</f>
        <v/>
      </c>
      <c r="G92" s="39">
        <f>E92+F92</f>
        <v/>
      </c>
    </row>
    <row r="93">
      <c r="B93" s="35" t="n">
        <v>87</v>
      </c>
      <c r="C93" s="36">
        <f>Опросник!Q243</f>
        <v/>
      </c>
      <c r="D93" s="37" t="inlineStr">
        <is>
          <t>НС</t>
        </is>
      </c>
      <c r="E93" s="38">
        <f>IF(C93=5,1,0)</f>
        <v/>
      </c>
      <c r="F93" s="38">
        <f>IF(C93=6,1,0)</f>
        <v/>
      </c>
      <c r="G93" s="39">
        <f>E93+F93</f>
        <v/>
      </c>
    </row>
    <row r="94">
      <c r="B94" s="35" t="n">
        <v>88</v>
      </c>
      <c r="C94" s="36">
        <f>Опросник!Q245</f>
        <v/>
      </c>
      <c r="D94" s="37" t="inlineStr">
        <is>
          <t>ПО</t>
        </is>
      </c>
      <c r="E94" s="38">
        <f>IF(C94=5,1,0)</f>
        <v/>
      </c>
      <c r="F94" s="38">
        <f>IF(C94=6,1,0)</f>
        <v/>
      </c>
      <c r="G94" s="39">
        <f>E94+F94</f>
        <v/>
      </c>
    </row>
    <row r="95">
      <c r="B95" s="35" t="n">
        <v>89</v>
      </c>
      <c r="C95" s="36">
        <f>Опросник!Q247</f>
        <v/>
      </c>
      <c r="D95" s="37" t="inlineStr">
        <is>
          <t>НП</t>
        </is>
      </c>
      <c r="E95" s="38">
        <f>IF(C95=5,1,0)</f>
        <v/>
      </c>
      <c r="F95" s="38">
        <f>IF(C95=6,1,0)</f>
        <v/>
      </c>
      <c r="G95" s="39">
        <f>E95+F95</f>
        <v/>
      </c>
    </row>
    <row r="96">
      <c r="B96" s="35" t="n">
        <v>90</v>
      </c>
      <c r="C96" s="36">
        <f>Опросник!Q249</f>
        <v/>
      </c>
      <c r="D96" s="37" t="inlineStr">
        <is>
          <t>ПК</t>
        </is>
      </c>
      <c r="E96" s="38">
        <f>IF(C96=5,1,0)</f>
        <v/>
      </c>
      <c r="F96" s="38">
        <f>IF(C96=6,1,0)</f>
        <v/>
      </c>
      <c r="G96" s="39">
        <f>E96+F96</f>
        <v/>
      </c>
    </row>
    <row r="99">
      <c r="B99" s="28" t="inlineStr">
        <is>
          <t>Схема</t>
        </is>
      </c>
      <c r="C99" s="28" t="inlineStr">
        <is>
          <t>Код</t>
        </is>
      </c>
      <c r="D99" s="28" t="inlineStr">
        <is>
          <t>Средний балл</t>
        </is>
      </c>
      <c r="E99" s="28" t="inlineStr">
        <is>
          <t>5 или 6</t>
        </is>
      </c>
      <c r="F99" s="28" t="inlineStr">
        <is>
          <t>Сумма баллов</t>
        </is>
      </c>
      <c r="G99" s="28" t="inlineStr">
        <is>
          <t>Тестовый показатель</t>
        </is>
      </c>
      <c r="H99" s="28" t="inlineStr">
        <is>
          <t>Уровень т/п</t>
        </is>
      </c>
      <c r="J99" s="28" t="inlineStr">
        <is>
          <t>Группа схем</t>
        </is>
      </c>
      <c r="K99" s="28" t="inlineStr">
        <is>
          <t>Средний балл</t>
        </is>
      </c>
      <c r="L99" s="28" t="inlineStr">
        <is>
          <t>5 или 6</t>
        </is>
      </c>
    </row>
    <row r="100" ht="40.15" customHeight="1" s="31">
      <c r="B100" s="41" t="inlineStr">
        <is>
          <t>1. Эмоциональная депривация (РСО)</t>
        </is>
      </c>
      <c r="C100" s="32" t="inlineStr">
        <is>
          <t>ЭД</t>
        </is>
      </c>
      <c r="D100" s="40">
        <f>(C7+C25+C43+C61+C79)/5</f>
        <v/>
      </c>
      <c r="E100" s="33">
        <f>G7+G25+G43+G61+G79</f>
        <v/>
      </c>
      <c r="F100" s="33">
        <f>C7+C25+C43+C61+C79</f>
        <v/>
      </c>
      <c r="G100" s="42">
        <f>(F100-5)/25*100%</f>
        <v/>
      </c>
      <c r="H100" s="42">
        <f>IF(G100&lt;=20%,"низкий",IF(G100&lt;=40%,"пониженный",IF(G100&lt;=60%,"средний",IF(G100&lt;=80%,"повышенный","высокий"))))</f>
        <v/>
      </c>
      <c r="J100" s="41" t="inlineStr">
        <is>
          <t>Разобщенность и отвержение (РСО)</t>
        </is>
      </c>
      <c r="K100" s="43">
        <f>(D100+D101+D102+D103+D104)/5</f>
        <v/>
      </c>
      <c r="L100" s="44">
        <f>E100+E101+E102+E103+E104</f>
        <v/>
      </c>
    </row>
    <row r="101" ht="43.15" customHeight="1" s="31">
      <c r="B101" s="41" t="inlineStr">
        <is>
          <t>2. Покинутость / нестабильность (РСО)</t>
        </is>
      </c>
      <c r="C101" s="32" t="inlineStr">
        <is>
          <t>ПН</t>
        </is>
      </c>
      <c r="D101" s="40">
        <f>(C8+C26+C44+C62+C80)/5</f>
        <v/>
      </c>
      <c r="E101" s="33">
        <f>G8+G26+G44+G62+G80</f>
        <v/>
      </c>
      <c r="F101" s="33">
        <f>C8+C26+C44+C62+C80</f>
        <v/>
      </c>
      <c r="G101" s="42">
        <f>(F101-5)/25*100%</f>
        <v/>
      </c>
      <c r="H101" s="42">
        <f>IF(G101&lt;=20%,"низкий",IF(G101&lt;=40%,"пониженный",IF(G101&lt;=60%,"средний",IF(G101&lt;=80%,"повышенный","высокий"))))</f>
        <v/>
      </c>
      <c r="J101" s="41" t="inlineStr">
        <is>
          <t>Нарушение личностной автономии и непризнание достижений (НЛАНД)</t>
        </is>
      </c>
      <c r="K101" s="39">
        <f>(D105+D106+D107+D108)/4</f>
        <v/>
      </c>
      <c r="L101" s="44">
        <f>E105+E106+E107+E108</f>
        <v/>
      </c>
    </row>
    <row r="102" ht="26.5" customHeight="1" s="31">
      <c r="B102" s="41" t="inlineStr">
        <is>
          <t>3. Недоверие / насилие (РСО)</t>
        </is>
      </c>
      <c r="C102" s="32" t="inlineStr">
        <is>
          <t>НН</t>
        </is>
      </c>
      <c r="D102" s="40">
        <f>(C9+C27+C45+C63+C81)/5</f>
        <v/>
      </c>
      <c r="E102" s="33">
        <f>G9+G27+G45+G63+G81</f>
        <v/>
      </c>
      <c r="F102" s="33">
        <f>C9+C27+C45+C63+C81</f>
        <v/>
      </c>
      <c r="G102" s="42">
        <f>(F102-5)/25*100%</f>
        <v/>
      </c>
      <c r="H102" s="42">
        <f>IF(G102&lt;=20%,"низкий",IF(G102&lt;=40%,"пониженный",IF(G102&lt;=60%,"средний",IF(G102&lt;=80%,"повышенный","высокий"))))</f>
        <v/>
      </c>
      <c r="J102" s="41" t="inlineStr">
        <is>
          <t>Нарушенные границы (НГ)</t>
        </is>
      </c>
      <c r="K102" s="39">
        <f>(D113+D114)/2</f>
        <v/>
      </c>
      <c r="L102" s="44">
        <f>E113+E114</f>
        <v/>
      </c>
    </row>
    <row r="103" ht="28.15" customHeight="1" s="31">
      <c r="B103" s="41" t="inlineStr">
        <is>
          <t>4. Социальная изоляция/ отчуждение (РСО)</t>
        </is>
      </c>
      <c r="C103" s="32" t="inlineStr">
        <is>
          <t>СИО</t>
        </is>
      </c>
      <c r="D103" s="40">
        <f>(C10+C28+C46+C64+C82)/5</f>
        <v/>
      </c>
      <c r="E103" s="33">
        <f>G10+G28+G46+G64+G82</f>
        <v/>
      </c>
      <c r="F103" s="33">
        <f>C10+C28+C46+C64+C82</f>
        <v/>
      </c>
      <c r="G103" s="42">
        <f>(F103-5)/25*100%</f>
        <v/>
      </c>
      <c r="H103" s="42">
        <f>IF(G103&lt;=20%,"низкий",IF(G103&lt;=40%,"пониженный",IF(G103&lt;=60%,"средний",IF(G103&lt;=80%,"повышенный","высокий"))))</f>
        <v/>
      </c>
      <c r="J103" s="41" t="inlineStr">
        <is>
          <t>Направленность на других (НД)</t>
        </is>
      </c>
      <c r="K103" s="39">
        <f>(D109+D110+D115)/3</f>
        <v/>
      </c>
      <c r="L103" s="44">
        <f>E109+E110+E115</f>
        <v/>
      </c>
    </row>
    <row r="104" ht="34.15" customHeight="1" s="31">
      <c r="B104" s="34" t="inlineStr">
        <is>
          <t>5. Дефективность / стыд (РСО)</t>
        </is>
      </c>
      <c r="C104" s="32" t="inlineStr">
        <is>
          <t>ДС</t>
        </is>
      </c>
      <c r="D104" s="40">
        <f>(C11+C29+C47+C65+C83)/5</f>
        <v/>
      </c>
      <c r="E104" s="33">
        <f>G11+G29+G47+G65+G83</f>
        <v/>
      </c>
      <c r="F104" s="33">
        <f>C11+C29+C47+C65+C83</f>
        <v/>
      </c>
      <c r="G104" s="42">
        <f>(F104-5)/25*100%</f>
        <v/>
      </c>
      <c r="H104" s="42">
        <f>IF(G104&lt;=20%,"низкий",IF(G104&lt;=40%,"пониженный",IF(G104&lt;=60%,"средний",IF(G104&lt;=80%,"повышенный","высокий"))))</f>
        <v/>
      </c>
      <c r="J104" s="41" t="inlineStr">
        <is>
          <t>Сверхбдительность и подавление (СбП)</t>
        </is>
      </c>
      <c r="K104" s="39">
        <f>(D111+D112+D116+D117)/4</f>
        <v/>
      </c>
      <c r="L104" s="44">
        <f>E111+E112+E116+E117</f>
        <v/>
      </c>
    </row>
    <row r="105" ht="30.65" customHeight="1" s="31">
      <c r="B105" s="34" t="inlineStr">
        <is>
          <t>6. Неуспешность / обреченность на неудачу (НЛАНД)</t>
        </is>
      </c>
      <c r="C105" s="32" t="inlineStr">
        <is>
          <t>НО</t>
        </is>
      </c>
      <c r="D105" s="40">
        <f>(C12+C30+C48+C66+C84)/5</f>
        <v/>
      </c>
      <c r="E105" s="33">
        <f>G12+G30+G48+G66+G84</f>
        <v/>
      </c>
      <c r="F105" s="33">
        <f>C12+C30+C48+C66+C84</f>
        <v/>
      </c>
      <c r="G105" s="42">
        <f>(F105-5)/25*100%</f>
        <v/>
      </c>
      <c r="H105" s="42">
        <f>IF(G105&lt;=20%,"низкий",IF(G105&lt;=40%,"пониженный",IF(G105&lt;=60%,"средний",IF(G105&lt;=80%,"повышенный","высокий"))))</f>
        <v/>
      </c>
    </row>
    <row r="106" ht="30.65" customHeight="1" s="31">
      <c r="B106" s="34" t="inlineStr">
        <is>
          <t>7. Зависимость / некомпетентность (НЛАНД)</t>
        </is>
      </c>
      <c r="C106" s="32" t="inlineStr">
        <is>
          <t>ЗН</t>
        </is>
      </c>
      <c r="D106" s="40">
        <f>(C13+C31+C49+C67+C85)/5</f>
        <v/>
      </c>
      <c r="E106" s="33">
        <f>G13+G31+G49+G67+G85</f>
        <v/>
      </c>
      <c r="F106" s="33">
        <f>C13+C31+C49+C67+C85</f>
        <v/>
      </c>
      <c r="G106" s="42">
        <f>(F106-5)/25*100%</f>
        <v/>
      </c>
      <c r="H106" s="42">
        <f>IF(G106&lt;=20%,"низкий",IF(G106&lt;=40%,"пониженный",IF(G106&lt;=60%,"средний",IF(G106&lt;=80%,"повышенный","высокий"))))</f>
        <v/>
      </c>
    </row>
    <row r="107" ht="36" customHeight="1" s="31">
      <c r="B107" s="34" t="inlineStr">
        <is>
          <t>8. Уязвимость (перед физическим вредом или болезнями) (НЛАНД)</t>
        </is>
      </c>
      <c r="C107" s="32" t="inlineStr">
        <is>
          <t>У</t>
        </is>
      </c>
      <c r="D107" s="40">
        <f>(C14+C32+C50+C68+C86)/5</f>
        <v/>
      </c>
      <c r="E107" s="33">
        <f>G14+G32+G50+G68+G86</f>
        <v/>
      </c>
      <c r="F107" s="33">
        <f>C14+C32+C50+C68+C86</f>
        <v/>
      </c>
      <c r="G107" s="42">
        <f>(F107-5)/25*100%</f>
        <v/>
      </c>
      <c r="H107" s="42">
        <f>IF(G107&lt;=20%,"низкий",IF(G107&lt;=40%,"пониженный",IF(G107&lt;=60%,"средний",IF(G107&lt;=80%,"повышенный","высокий"))))</f>
        <v/>
      </c>
    </row>
    <row r="108" ht="28.15" customHeight="1" s="31">
      <c r="B108" s="34" t="inlineStr">
        <is>
          <t>9. Слитность с другими / неразвитое Я (НЛАНД)</t>
        </is>
      </c>
      <c r="C108" s="32" t="inlineStr">
        <is>
          <t>СДНЯ</t>
        </is>
      </c>
      <c r="D108" s="40">
        <f>(C15+C33+C51+C69+C87)/5</f>
        <v/>
      </c>
      <c r="E108" s="33">
        <f>G15+G33+G51+G69+G87</f>
        <v/>
      </c>
      <c r="F108" s="33">
        <f>C15+C33+C51+C69+C87</f>
        <v/>
      </c>
      <c r="G108" s="42">
        <f>(F108-5)/25*100%</f>
        <v/>
      </c>
      <c r="H108" s="42">
        <f>IF(G108&lt;=20%,"низкий",IF(G108&lt;=40%,"пониженный",IF(G108&lt;=60%,"средний",IF(G108&lt;=80%,"повышенный","высокий"))))</f>
        <v/>
      </c>
    </row>
    <row r="109" ht="22.9" customHeight="1" s="31">
      <c r="B109" s="34" t="inlineStr">
        <is>
          <t>10. Покорность / подчинение (НД)</t>
        </is>
      </c>
      <c r="C109" s="32" t="inlineStr">
        <is>
          <t>ПП</t>
        </is>
      </c>
      <c r="D109" s="40">
        <f>(C16+C34+C52+C70+C88)/5</f>
        <v/>
      </c>
      <c r="E109" s="33">
        <f>G16+G34+G52+G70+G88</f>
        <v/>
      </c>
      <c r="F109" s="33">
        <f>C16+C34+C52+C70+C88</f>
        <v/>
      </c>
      <c r="G109" s="42">
        <f>(F109-5)/25*100%</f>
        <v/>
      </c>
      <c r="H109" s="42">
        <f>IF(G109&lt;=20%,"низкий",IF(G109&lt;=40%,"пониженный",IF(G109&lt;=60%,"средний",IF(G109&lt;=80%,"повышенный","высокий"))))</f>
        <v/>
      </c>
    </row>
    <row r="110" ht="24.65" customHeight="1" s="31">
      <c r="B110" s="34" t="inlineStr">
        <is>
          <t>11. Самопожертвование (НД)</t>
        </is>
      </c>
      <c r="C110" s="32" t="inlineStr">
        <is>
          <t>С</t>
        </is>
      </c>
      <c r="D110" s="40">
        <f>(C17+C35+C53+C71+C89)/5</f>
        <v/>
      </c>
      <c r="E110" s="33">
        <f>G17+G35+G53+G71+G89</f>
        <v/>
      </c>
      <c r="F110" s="33">
        <f>C17+C35+C53+C71+C89</f>
        <v/>
      </c>
      <c r="G110" s="42">
        <f>(F110-5)/25*100%</f>
        <v/>
      </c>
      <c r="H110" s="42">
        <f>IF(G110&lt;=20%,"низкий",IF(G110&lt;=40%,"пониженный",IF(G110&lt;=60%,"средний",IF(G110&lt;=80%,"повышенный","высокий"))))</f>
        <v/>
      </c>
    </row>
    <row r="111" ht="24" customHeight="1" s="31">
      <c r="B111" s="34" t="inlineStr">
        <is>
          <t>12. Подавление эмоций (СбП)</t>
        </is>
      </c>
      <c r="C111" s="32" t="inlineStr">
        <is>
          <t>ПЭ</t>
        </is>
      </c>
      <c r="D111" s="40">
        <f>(C18+C36+C54+C72+C90)/5</f>
        <v/>
      </c>
      <c r="E111" s="33">
        <f>G18+G36+G54+G72+G90</f>
        <v/>
      </c>
      <c r="F111" s="33">
        <f>C18+C36+C54+C72+C90</f>
        <v/>
      </c>
      <c r="G111" s="42">
        <f>(F111-5)/25*100%</f>
        <v/>
      </c>
      <c r="H111" s="42">
        <f>IF(G111&lt;=20%,"низкий",IF(G111&lt;=40%,"пониженный",IF(G111&lt;=60%,"средний",IF(G111&lt;=80%,"повышенный","высокий"))))</f>
        <v/>
      </c>
    </row>
    <row r="112" ht="25" customHeight="1" s="31">
      <c r="B112" s="34" t="inlineStr">
        <is>
          <t>13. Жёсткие стандарты / завышенные требования к себе (СбП)</t>
        </is>
      </c>
      <c r="C112" s="32" t="inlineStr">
        <is>
          <t>ЖС</t>
        </is>
      </c>
      <c r="D112" s="40">
        <f>(C19+C37+C55+C73+C91)/5</f>
        <v/>
      </c>
      <c r="E112" s="33">
        <f>G19+G37+G55+G73+G91</f>
        <v/>
      </c>
      <c r="F112" s="33">
        <f>C19+C37+C55+C73+C91</f>
        <v/>
      </c>
      <c r="G112" s="42">
        <f>(F112-5)/25*100%</f>
        <v/>
      </c>
      <c r="H112" s="42">
        <f>IF(G112&lt;=20%,"низкий",IF(G112&lt;=40%,"пониженный",IF(G112&lt;=60%,"средний",IF(G112&lt;=80%,"повышенный","высокий"))))</f>
        <v/>
      </c>
    </row>
    <row r="113" ht="25" customHeight="1" s="31">
      <c r="B113" s="34" t="inlineStr">
        <is>
          <t>14. Привилегированность / грандиозность (НГ)</t>
        </is>
      </c>
      <c r="C113" s="32" t="inlineStr">
        <is>
          <t>ПГ</t>
        </is>
      </c>
      <c r="D113" s="40">
        <f>(C20+C38+C56+C74+C92)/5</f>
        <v/>
      </c>
      <c r="E113" s="33">
        <f>G20+G38+G56+G74+G92</f>
        <v/>
      </c>
      <c r="F113" s="33">
        <f>C20+C38+C56+C74+C92</f>
        <v/>
      </c>
      <c r="G113" s="42">
        <f>(F113-5)/25*100%</f>
        <v/>
      </c>
      <c r="H113" s="42">
        <f>IF(G113&lt;=20%,"низкий",IF(G113&lt;=40%,"пониженный",IF(G113&lt;=60%,"средний",IF(G113&lt;=80%,"повышенный","высокий"))))</f>
        <v/>
      </c>
    </row>
    <row r="114" ht="25.5" customHeight="1" s="31">
      <c r="B114" s="34" t="inlineStr">
        <is>
          <t xml:space="preserve">15. Недостаток самоконтроля / самодисциплины (НГ)  </t>
        </is>
      </c>
      <c r="C114" s="32" t="inlineStr">
        <is>
          <t>НС</t>
        </is>
      </c>
      <c r="D114" s="40">
        <f>(C21+C39+C57+C75+C93)/5</f>
        <v/>
      </c>
      <c r="E114" s="33">
        <f>G21+G39+G57+G75+G93</f>
        <v/>
      </c>
      <c r="F114" s="33">
        <f>C21+C39+C57+C75+C93</f>
        <v/>
      </c>
      <c r="G114" s="42">
        <f>(F114-5)/25*100%</f>
        <v/>
      </c>
      <c r="H114" s="42">
        <f>IF(G114&lt;=20%,"низкий",IF(G114&lt;=40%,"пониженный",IF(G114&lt;=60%,"средний",IF(G114&lt;=80%,"повышенный","высокий"))))</f>
        <v/>
      </c>
    </row>
    <row r="115" ht="18" customHeight="1" s="31">
      <c r="B115" s="34" t="inlineStr">
        <is>
          <t>16. Поиск одобрения (НД)</t>
        </is>
      </c>
      <c r="C115" s="32" t="inlineStr">
        <is>
          <t>ПО</t>
        </is>
      </c>
      <c r="D115" s="40">
        <f>(C22+C40+C58+C76+C94)/5</f>
        <v/>
      </c>
      <c r="E115" s="33">
        <f>G22+G40+G58+G76+G94</f>
        <v/>
      </c>
      <c r="F115" s="33">
        <f>C22+C40+C58+C76+C94</f>
        <v/>
      </c>
      <c r="G115" s="42">
        <f>(F115-5)/25*100%</f>
        <v/>
      </c>
      <c r="H115" s="42">
        <f>IF(G115&lt;=20%,"низкий",IF(G115&lt;=40%,"пониженный",IF(G115&lt;=60%,"средний",IF(G115&lt;=80%,"повышенный","высокий"))))</f>
        <v/>
      </c>
    </row>
    <row r="116" ht="18.65" customHeight="1" s="31">
      <c r="B116" s="34" t="inlineStr">
        <is>
          <t>17. Негативизм / пессимизм (СбП)</t>
        </is>
      </c>
      <c r="C116" s="32" t="inlineStr">
        <is>
          <t>НП</t>
        </is>
      </c>
      <c r="D116" s="40">
        <f>(C23+C41+C59+C77+C95)/5</f>
        <v/>
      </c>
      <c r="E116" s="33">
        <f>G23+G41+G59+G77+G95</f>
        <v/>
      </c>
      <c r="F116" s="33">
        <f>C23+C41+C59+C77+C95</f>
        <v/>
      </c>
      <c r="G116" s="42">
        <f>(F116-5)/25*100%</f>
        <v/>
      </c>
      <c r="H116" s="42">
        <f>IF(G116&lt;=20%,"низкий",IF(G116&lt;=40%,"пониженный",IF(G116&lt;=60%,"средний",IF(G116&lt;=80%,"повышенный","высокий"))))</f>
        <v/>
      </c>
    </row>
    <row r="117" ht="25" customHeight="1" s="31">
      <c r="B117" s="34" t="inlineStr">
        <is>
          <t>18. Пунитивность / карательность (СбП)</t>
        </is>
      </c>
      <c r="C117" s="32" t="inlineStr">
        <is>
          <t>ПК</t>
        </is>
      </c>
      <c r="D117" s="40">
        <f>(C24+C42+C60+C78+C96)/5</f>
        <v/>
      </c>
      <c r="E117" s="33">
        <f>G24+G42+G60+G78+G96</f>
        <v/>
      </c>
      <c r="F117" s="33">
        <f>C24+C42+C60+C78+C96</f>
        <v/>
      </c>
      <c r="G117" s="42">
        <f>(F117-5)/25*100%</f>
        <v/>
      </c>
      <c r="H117" s="42">
        <f>IF(G117&lt;=20%,"низкий",IF(G117&lt;=40%,"пониженный",IF(G117&lt;=60%,"средний",IF(G117&lt;=80%,"повышенный","высокий"))))</f>
        <v/>
      </c>
    </row>
    <row r="118" ht="15" customHeight="1" s="31">
      <c r="B118" s="30" t="n"/>
    </row>
    <row r="119"/>
    <row r="120" ht="15" customHeight="1" s="31">
      <c r="B120" s="30" t="n"/>
    </row>
    <row r="121"/>
  </sheetData>
  <mergeCells count="2">
    <mergeCell ref="C2:E2"/>
    <mergeCell ref="C4:E4"/>
  </mergeCells>
  <conditionalFormatting sqref="H100:H117">
    <cfRule type="containsText" priority="7" operator="containsText" dxfId="4" text="повышенный">
      <formula>NOT(ISERROR(SEARCH("повышенный",H100)))</formula>
    </cfRule>
    <cfRule type="containsText" priority="6" operator="containsText" dxfId="3" text="высокий">
      <formula>NOT(ISERROR(SEARCH("высокий",H100)))</formula>
    </cfRule>
    <cfRule type="containsText" priority="5" operator="containsText" dxfId="2" text="средний">
      <formula>NOT(ISERROR(SEARCH("средний",H100)))</formula>
    </cfRule>
    <cfRule type="containsText" priority="4" operator="containsText" dxfId="1" text="пониженный">
      <formula>NOT(ISERROR(SEARCH("пониженный",H100)))</formula>
    </cfRule>
    <cfRule type="containsText" priority="3" operator="containsText" dxfId="0" text="низкий">
      <formula>NOT(ISERROR(SEARCH("низкий",H100)))</formula>
    </cfRule>
  </conditionalFormatting>
  <conditionalFormatting sqref="G100:G11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0:D11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0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ПК</dc:creator>
  <dcterms:created xsi:type="dcterms:W3CDTF">2020-04-16T06:05:54Z</dcterms:created>
  <dcterms:modified xsi:type="dcterms:W3CDTF">2026-03-30T21:53:37Z</dcterms:modified>
  <cp:lastModifiedBy>Lenovo</cp:lastModifiedBy>
</cp:coreProperties>
</file>